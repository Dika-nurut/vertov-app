
<file path=[Content_Types].xml><?xml version="1.0" encoding="utf-8"?>
<ns0:Types xmlns:ns0="http://schemas.openxmlformats.org/package/2006/content-types">
  <ns0:Default Extension="fntdata" ContentType="application/x-fontdata"/>
  <ns0:Default Extension="jpeg" ContentType="image/jpeg"/>
  <ns0:Default Extension="png" ContentType="image/png"/>
  <ns0:Default Extension="rels" ContentType="application/vnd.openxmlformats-package.relationships+xml"/>
  <ns0:Default Extension="xml" ContentType="application/xml"/>
  <ns0:Override PartName="/xl/workbook.xml" ContentType="application/vnd.openxmlformats-officedocument.spreadsheetml.sheet.main+xml"/>
  <ns0:Override PartName="/xl/theme/theme1.xml" ContentType="application/vnd.openxmlformats-officedocument.theme+xml"/>
  <ns0:Override PartName="/xl/styles.xml" ContentType="application/vnd.openxmlformats-officedocument.spreadsheetml.styles+xml"/>
  <ns0:Override PartName="/xl/worksheets/sheet11.xml" ContentType="application/vnd.openxmlformats-officedocument.spreadsheetml.worksheet+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10.xml" ContentType="application/vnd.openxmlformats-officedocument.spreadsheetml.worksheet+xml"/>
  <ns0:Override PartName="/xl/worksheets/sheet3.xml" ContentType="application/vnd.openxmlformats-officedocument.spreadsheetml.worksheet+xml"/>
  <ns0:Override PartName="/xl/worksheets/sheet12.xml" ContentType="application/vnd.openxmlformats-officedocument.spreadsheetml.worksheet+xml"/>
  <ns0:Override PartName="/xl/worksheets/sheet8.xml" ContentType="application/vnd.openxmlformats-officedocument.spreadsheetml.worksheet+xml"/>
  <ns0:Override PartName="/xl/worksheets/sheet4.xml" ContentType="application/vnd.openxmlformats-officedocument.spreadsheetml.worksheet+xml"/>
  <ns0:Override PartName="/xl/worksheets/sheet7.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9.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sharedStrings.xml" ContentType="application/vnd.openxmlformats-officedocument.spreadsheetml.sharedStrings+xml"/>
  <ns0:Override PartName="/xl/drawings/drawing1.xml" ContentType="application/vnd.openxmlformats-officedocument.drawing+xml"/>
  <ns0:Override PartName="/xl/charts/chart1.xml" ContentType="application/vnd.openxmlformats-officedocument.drawingml.chart+xml"/>
  <ns0:Override PartName="/xl/charts/style1.xml" ContentType="application/vnd.ms-office.chartstyle+xml"/>
  <ns0:Override PartName="/xl/charts/colors1.xml" ContentType="application/vnd.ms-office.chartcolorstyle+xml"/>
  <ns0:Override PartName="/xl/charts/style2.xml" ContentType="application/vnd.ms-office.chartstyle+xml"/>
  <ns0:Override PartName="/xl/charts/chart2.xml" ContentType="application/vnd.openxmlformats-officedocument.drawingml.chart+xml"/>
  <ns0:Override PartName="/xl/charts/colors2.xml" ContentType="application/vnd.ms-office.chartcolorstyl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worksheets/sheet15.xml" ContentType="application/vnd.openxmlformats-officedocument.spreadsheetml.worksheet+xml"/>
</ns0: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Старт" sheetId="1" state="visible" r:id="rId3"/>
    <sheet name="Экзекьютив" sheetId="2" state="visible" r:id="rId4"/>
    <sheet name="Сводная" sheetId="3" state="visible" r:id="rId5"/>
    <sheet name="Сетка FX" sheetId="4" state="visible" r:id="rId6"/>
    <sheet name="НОГИ (экспорт)" sheetId="5" state="visible" r:id="rId7"/>
    <sheet name="СООТНОШЕНИЕ СТОРОН" sheetId="6" state="visible" r:id="rId8"/>
    <sheet name="ЛЕСТНИЦА НОГ" sheetId="7" state="visible" r:id="rId9"/>
    <sheet name="ЖУРНАЛ ЦЕН" sheetId="8" state="visible" r:id="rId10"/>
    <sheet name="Тарифы" sheetId="9" state="visible" r:id="rId11"/>
    <sheet name="Юнит-экономика" sheetId="10" state="visible" r:id="rId12"/>
    <sheet name="P&amp;L" sheetId="11" state="visible" r:id="rId13"/>
    <sheet name="Технический" sheetId="12" state="visible" r:id="rId14"/>
    <sheet name="Аудит цен" sheetId="13" state="visible" r:id="rId15"/>
    <sheet name="Параметрика" sheetId="14" state="visible" r:id="rId16"/>
    <sheet name="LLM ЦЕНЫ" sheetId="15" state="visible" r:id="rId18"/>
  </sheet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<sst xmlns="http://schemas.openxmlformats.org/spreadsheetml/2006/main" count="4821" uniqueCount="1365">
  <si>
    <t xml:space="preserve">ФИНАНСОВАЯ МОДЕЛЬ VERTOV — С ЧЕГО НАЧАТЬ</t>
  </si>
  <si>
    <t xml:space="preserve">Правило одно: СИНИЕ ячейки — меняешь ты, все остальные считаются сами. После любого изменения смотри проверку внизу P&amp;L.</t>
  </si>
  <si>
    <t xml:space="preserve">КАК ПОЛЬЗОВАТЬСЯ — 4 ШАГА</t>
  </si>
  <si>
    <t xml:space="preserve">ШАГ 1 · Задай цели прибыли</t>
  </si>
  <si>
    <t xml:space="preserve">Блок «ЦЕЛИ ПРИБЫЛИ» вверху «Технического». Три группы клиентов (тратят 50% / 75% / 100% лимита): укажи долю каждой группы и какую чистую маржу хочешь с неё. Модель выведет среднюю цель и минимальную гарантированную маржу тарифов.</t>
  </si>
  <si>
    <t xml:space="preserve">ШАГ 2 · Задай размер тарифов</t>
  </si>
  <si>
    <t xml:space="preserve">Строка «КРЕДИТОВ В ТАРИФЕ»: сколько кредитов входит в Start / Pro / Studio / Elite. Цены посчитаются сами из целей прибыли и округлятся до …99. «Поправка маржи» — дорогие тарифы дают дешевле кредит.</t>
  </si>
  <si>
    <t xml:space="preserve">ШАГ 3 · Заполни каталог моделей</t>
  </si>
  <si>
    <t xml:space="preserve">Матрица «Модели из прода»: 22 реальные модели с ценами. Меняй кредиты за единицу и длину клипа; впиши токены Syntx (колонка Q) — сравнение посчитается.</t>
  </si>
  <si>
    <t xml:space="preserve">ШАГ 4 · Проверь прибыль</t>
  </si>
  <si>
    <t xml:space="preserve">P&amp;L: полный отчёт о прибыли за месяц. Внизу — блок «Проверка»: чистая маржа, если клиенты тратят 50% / 75% / весь лимит, и сходимость с твоей целью.</t>
  </si>
  <si>
    <t xml:space="preserve">КАРТА ЛИСТОВ</t>
  </si>
  <si>
    <t xml:space="preserve">Экзекьютив</t>
  </si>
  <si>
    <t xml:space="preserve">Сводка на одну страницу: тарифы, экономика одной генерации, P&amp;L, текущие настройки. Показывать инвестору.</t>
  </si>
  <si>
    <t xml:space="preserve">Тарифы</t>
  </si>
  <si>
    <t xml:space="preserve">Тарифы — утвержденные цены, кредиты, CM2 и единая матрица Vertov / Syntx / Higgsfield.</t>
  </si>
  <si>
    <t xml:space="preserve">Юнит-экономика</t>
  </si>
  <si>
    <t xml:space="preserve">Экономика одной генерации в 3 шага: во сколько обходится нам → сколько зарабатываем → то же на объёме за месяц.</t>
  </si>
  <si>
    <t xml:space="preserve">P&amp;L</t>
  </si>
  <si>
    <t xml:space="preserve">Прибыль за месяц: выручка (подписки + докупки) → себестоимость → комиссии → постоянные расходы → маркетинг → налог → чистая прибыль. Внизу — проверка по сценариям.</t>
  </si>
  <si>
    <t xml:space="preserve">Технический</t>
  </si>
  <si>
    <t xml:space="preserve">Аудит цен — вендор, источник и confidence; обновлять перед инвест-пакетом.</t>
  </si>
  <si>
    <t xml:space="preserve">ЧАСТЫЕ ДЕЙСТВИЯ — ГДЕ МЕНЯТЬ</t>
  </si>
  <si>
    <t xml:space="preserve">Хочу другую маржу / другие цены</t>
  </si>
  <si>
    <t xml:space="preserve">Цели прибыли (доли групп и целевые маржи) — цены пересчитаются.</t>
  </si>
  <si>
    <t xml:space="preserve">Хочу дать больше/меньше генераций</t>
  </si>
  <si>
    <t xml:space="preserve">Размер тарифа в генерациях Seedance 2.0.</t>
  </si>
  <si>
    <t xml:space="preserve">Сменить банк перевода (A7 ↔ ВТБ)</t>
  </si>
  <si>
    <t xml:space="preserve">Переключатель коридора: 1 = A7 (0,37%), 2 = ВТБ (8,2%).</t>
  </si>
  <si>
    <t xml:space="preserve">Изменить долю резервного провайдера Nano</t>
  </si>
  <si>
    <t xml:space="preserve">Доля запросов через kie.ai — влияет на себестоимость картинок.</t>
  </si>
  <si>
    <t xml:space="preserve">Доля оплат СБП / карты</t>
  </si>
  <si>
    <t xml:space="preserve">Меняет комиссию эквайринга (СБП 0,7% vs карта 3,2%).</t>
  </si>
  <si>
    <t xml:space="preserve">УСН 6% ↔ 15%</t>
  </si>
  <si>
    <t xml:space="preserve">Переключатель налогового режима.</t>
  </si>
  <si>
    <t xml:space="preserve">Хостинг: грант / self-host / managed</t>
  </si>
  <si>
    <t xml:space="preserve">Сценарий постоянных расходов на инфраструктуру.</t>
  </si>
  <si>
    <t xml:space="preserve">Число клиентов, отток, стоимость привлечения</t>
  </si>
  <si>
    <t xml:space="preserve">Блок «Портфель и поведение».</t>
  </si>
  <si>
    <t xml:space="preserve">Цены докупки кредитов</t>
  </si>
  <si>
    <t xml:space="preserve">Блок «Top-up»: номиналы и ₽/кредит.</t>
  </si>
  <si>
    <t xml:space="preserve">Термины, если что-то непонятно — «Технический», блок «Справка» в самом низу.</t>
  </si>
  <si>
    <t xml:space="preserve">VERTOV — ЭКЗЕКЬЮТИВ-СВОДКА</t>
  </si>
  <si>
    <t xml:space="preserve">Утвержденная pricing-модель запуска: тарифы, CM2, Net margin P&amp;L, себестоимость SKU и сравнение Vertov · Syntx · Higgsfield.</t>
  </si>
  <si>
    <t xml:space="preserve">1. ТАРИФНАЯ СЕТКА (цена из пола маржи)</t>
  </si>
  <si>
    <t xml:space="preserve">Тариф</t>
  </si>
  <si>
    <t xml:space="preserve">Цена ₽/мес</t>
  </si>
  <si>
    <t xml:space="preserve">Видео veo-fast, ген/мес</t>
  </si>
  <si>
    <t xml:space="preserve">Картинки g3-pro, ген/мес</t>
  </si>
  <si>
    <t xml:space="preserve">₽ за генерацию</t>
  </si>
  <si>
    <t xml:space="preserve">Мин. маржа</t>
  </si>
  <si>
    <t xml:space="preserve">Start</t>
  </si>
  <si>
    <t xml:space="preserve">Pro</t>
  </si>
  <si>
    <t xml:space="preserve">Studio</t>
  </si>
  <si>
    <t xml:space="preserve">Elite</t>
  </si>
  <si>
    <t xml:space="preserve">Ultra</t>
  </si>
  <si>
    <t xml:space="preserve">2. ЭКОНОМИКА ОДНОЙ ГЕНЕРАЦИИ</t>
  </si>
  <si>
    <t xml:space="preserve">Себестоимость 1 ген. veo-3-1 (8с), ₽</t>
  </si>
  <si>
    <t xml:space="preserve">Себестоимость 1 ген. gemini-3-pro-image, ₽</t>
  </si>
  <si>
    <t xml:space="preserve">Продаём 1 видео-ген. (veo-fast) за, ₽</t>
  </si>
  <si>
    <t xml:space="preserve">Прибыль с 1 видео-ген. на Elite (после комиссий и УСН)</t>
  </si>
  <si>
    <t xml:space="preserve">3. P&amp;L ПРИ 1000 КЛИЕНТАХ</t>
  </si>
  <si>
    <t xml:space="preserve">Выручка (подписки + top-up)</t>
  </si>
  <si>
    <t xml:space="preserve">Валовая прибыль</t>
  </si>
  <si>
    <t xml:space="preserve">Чистая прибыль</t>
  </si>
  <si>
    <t xml:space="preserve">Чистая маржа</t>
  </si>
  <si>
    <t xml:space="preserve">Worst Net margin при 100% расходовании</t>
  </si>
  <si>
    <t xml:space="preserve">4. КОНФИГУРАЦИЯ (текущие переключатели)</t>
  </si>
  <si>
    <t xml:space="preserve">Коридор</t>
  </si>
  <si>
    <t xml:space="preserve">УСН</t>
  </si>
  <si>
    <t xml:space="preserve">Хостинг</t>
  </si>
  <si>
    <t xml:space="preserve">Доля оплат через СБП / доля резервного провайдера Nano</t>
  </si>
  <si>
    <t xml:space="preserve">Курс ЦБ / использование</t>
  </si>
  <si>
    <t xml:space="preserve">5. ГЕНЕРАЦИЙ КАЖДОЙ МОДЕЛИ В ТАРИФЕ (из матрицы)</t>
  </si>
  <si>
    <t xml:space="preserve">Модель</t>
  </si>
  <si>
    <t xml:space="preserve">Видео — при типовой длине клипа из матрицы.</t>
  </si>
  <si>
    <t xml:space="preserve">СВОДНАЯ — ЦЕНЫ ($ и ₽) И ГЕНЕРАЦИИ ПО МОДЕЛЯМ: МЫ · SYNTX · HIGGSFIELD</t>
  </si>
  <si>
    <t xml:space="preserve">₽-цена конкурентов = $ × курс × (1+5% потерь ВТБ при оплате из РФ). Наша $-цена — справочно (₽ ÷ курс).</t>
  </si>
  <si>
    <t xml:space="preserve">VERTOV</t>
  </si>
  <si>
    <t xml:space="preserve">Цена, $/мес →</t>
  </si>
  <si>
    <t xml:space="preserve">Цена, ₽/мес (для РФ) →</t>
  </si>
  <si>
    <t xml:space="preserve">SYNTX (прямой конкурент)</t>
  </si>
  <si>
    <t xml:space="preserve">Basic</t>
  </si>
  <si>
    <t xml:space="preserve">VIP</t>
  </si>
  <si>
    <t xml:space="preserve">Ultra El.</t>
  </si>
  <si>
    <t xml:space="preserve">HIGGSFIELD (глобальный конкурент)</t>
  </si>
  <si>
    <t xml:space="preserve">Starter</t>
  </si>
  <si>
    <t xml:space="preserve">Plus</t>
  </si>
  <si>
    <t xml:space="preserve">RUNWAY и другие</t>
  </si>
  <si>
    <t xml:space="preserve">Поле готово — тот же скрейп-промпт, подставь их URL.</t>
  </si>
  <si>
    <t xml:space="preserve">ГЛАВНЫЙ ЛИСТ. Цены — колонка O «КРЕДИТОВ/КЛИП». Курс 85, кредит 0,331 ₽. ВНИМАНИЕ: колонка I — бенчмарк, на котором построены цены, — содержит ошибку: одно значение продублировано на все разрешения модели. Проверенные значения в колонке T, ФАКТИЧЕСКОЕ сравнение с Syntx в колонке V. Цены заморожены сознательно — решение о снижении отложено. Колонки W–Y показывают цену, сравнение и маржу, если снижение принять.</t>
  </si>
  <si>
    <t xml:space="preserve">Правило: кредитов = максимум из трёх (потолок щедрости +28% к Syntx / маржа 25% / безубыток при уходе на резерв). Маржа — ВАЛОВАЯ, только вендорская себестоимость.</t>
  </si>
  <si>
    <t xml:space="preserve">КУРС USD/RUB →</t>
  </si>
  <si>
    <t xml:space="preserve">ЕДИНЫЙ КУРС КНИГИ. Синхронизирован с «Технический» C17 и «Аудит цен». Обновлён 03.08.2026.</t>
  </si>
  <si>
    <t xml:space="preserve">Landed ₽/$ OpenRouter</t>
  </si>
  <si>
    <t xml:space="preserve">Цена кредита, ₽</t>
  </si>
  <si>
    <t xml:space="preserve">самый дешёвый продаваемый кредит</t>
  </si>
  <si>
    <t xml:space="preserve">Landed ₽/$ direct (kie/lao)</t>
  </si>
  <si>
    <t xml:space="preserve">Целевая валовая маржа</t>
  </si>
  <si>
    <t xml:space="preserve">на основном поставщике</t>
  </si>
  <si>
    <t xml:space="preserve">Маржа в худшей длительности</t>
  </si>
  <si>
    <t xml:space="preserve">для veo: маржа на 4-сек клипе при базовом курсе. 15% здесь = 0% при курсе 100 (не в убыток).</t>
  </si>
  <si>
    <t xml:space="preserve">ЛЕСТНИЦА НОГ ОТКРЫТА НА ТРЕТЬЮ ПОЗИЦИЮ 11.08.2026. Формат готов, НИ ОДНА ставка не подписана: все цифры новых вендоров — опубликованные карточки без инвойса. Правило T4 в силе: неоплаченная ставка не маршрутизируется.</t>
  </si>
  <si>
    <t xml:space="preserve">БАЗА ТАРИФИКАЦИИ ПЕРЕЕХАЛА СО СТРОКИ НА НОГУ 11.08.2026. Раньше строка хранила одну базу на всю лестницу — это и есть дыра, о которой пишет dev: вендор с плоской ценой за клип и вендор с ценой за секунду не могут стоять на одной строке под одной базой. Пусто = нога тарифицируется так же, как строка.</t>
  </si>
  <si>
    <t xml:space="preserve">ПЛОЩАДЬ ВЫДАЧИ В МЕГАПИКСЕЛЯХ — для ног, которые тарифицируются за мегапиксель. Ярлык ступени не является драйвером затрат: у kie «2K» это 1536x1536 = 2,36 МП, а 2048x2048 = 4,19 МП, разница в 1,8 раза при одинаковом названии. Аспект сюда же: 16:9 и 1:1 на «одной ступени» — разная площадь.</t>
  </si>
  <si>
    <t xml:space="preserve">ПОДКЛЮЧЁННОСТЬ МАРШРУТА — ТРЕТЬЯ ОСЬ, ЗАВЕДЕНА 11.08.2026. Ставка отвечает «сколько стоит», выбор вендора — «к кому идём», и ни одна из двух не отвечает «а можем ли мы его позвать». Правило T4 дополняется: неоплаченная ставка не маршрутизируется, И неподключённый маршрут не продаётся. Пусто = не подтверждено; строка с неподключённой первой ногой в экспорт не выгружается.</t>
  </si>
  <si>
    <t xml:space="preserve">Тарификация</t>
  </si>
  <si>
    <t xml:space="preserve">Сек в клипе</t>
  </si>
  <si>
    <t xml:space="preserve">Мин. сек</t>
  </si>
  <si>
    <t xml:space="preserve">Канал</t>
  </si>
  <si>
    <t xml:space="preserve">$ за ед.</t>
  </si>
  <si>
    <t xml:space="preserve">Резерв канал</t>
  </si>
  <si>
    <t xml:space="preserve">$ резерв</t>
  </si>
  <si>
    <t xml:space="preserve">I · Syntx ток. — ПРОВЕРЕНО 28.07, задаёт потолок щедрости</t>
  </si>
  <si>
    <t xml:space="preserve">J · ЦЕНА НА САЙТЕ сегодня</t>
  </si>
  <si>
    <t xml:space="preserve">Себест ₽/клип</t>
  </si>
  <si>
    <t xml:space="preserve">Потолок +28%</t>
  </si>
  <si>
    <t xml:space="preserve">По марже</t>
  </si>
  <si>
    <t xml:space="preserve">Безубыток резерв</t>
  </si>
  <si>
    <t xml:space="preserve">O · ЦЕНА ПО ПРАВИЛУ сетки</t>
  </si>
  <si>
    <t xml:space="preserve">Кредитов/сек</t>
  </si>
  <si>
    <t xml:space="preserve">Маржа</t>
  </si>
  <si>
    <t xml:space="preserve">R · УСТАРЕЛО — считается от ошибочного I. НЕ ЧИТАТЬ</t>
  </si>
  <si>
    <t xml:space="preserve">T · Syntx токены — ПРОВЕРЕНО</t>
  </si>
  <si>
    <t xml:space="preserve">Источник / статус</t>
  </si>
  <si>
    <t xml:space="preserve">V · vs Syntx ФАКТ (при ценах O)</t>
  </si>
  <si>
    <t xml:space="preserve">Цена по проверенному потолку</t>
  </si>
  <si>
    <t xml:space="preserve">vs Syntx при этой цене</t>
  </si>
  <si>
    <t xml:space="preserve">Маржа при этой цене</t>
  </si>
  <si>
    <t xml:space="preserve">Z · ступень качества +15%</t>
  </si>
  <si>
    <t xml:space="preserve">СПИСЫВАТЬ — кредитов</t>
  </si>
  <si>
    <t xml:space="preserve">за сколько секунд</t>
  </si>
  <si>
    <t xml:space="preserve">кредитов за секунду</t>
  </si>
  <si>
    <t xml:space="preserve">Посредник — основная нога</t>
  </si>
  <si>
    <t xml:space="preserve">Посредник — резервная нога</t>
  </si>
  <si>
    <t xml:space="preserve">SKU у поставщика</t>
  </si>
  <si>
    <t xml:space="preserve">Достоверность</t>
  </si>
  <si>
    <t xml:space="preserve">ПОРОГ МАРЖИ строки</t>
  </si>
  <si>
    <t xml:space="preserve">AI · РИСК МАРШРУТА</t>
  </si>
  <si>
    <t xml:space="preserve">AJ · Посредник — 3-я нога</t>
  </si>
  <si>
    <t xml:space="preserve">AK · Канал 3-й ноги</t>
  </si>
  <si>
    <t xml:space="preserve">AL · $ за ед., 3-я нога</t>
  </si>
  <si>
    <t xml:space="preserve">AM · База тариф. — нога 2</t>
  </si>
  <si>
    <t xml:space="preserve">AN · База тариф. — нога 3</t>
  </si>
  <si>
    <t xml:space="preserve">AO · Площадь выдачи, МП</t>
  </si>
  <si>
    <t xml:space="preserve">AP · Маршрут ноги 1 подключён</t>
  </si>
  <si>
    <t xml:space="preserve">AQ · Маршрут ноги 2 подключён</t>
  </si>
  <si>
    <t xml:space="preserve">AR · Маршрут ноги 3 подключён</t>
  </si>
  <si>
    <t xml:space="preserve">Veo Quality 720p</t>
  </si>
  <si>
    <t xml:space="preserve">за клип</t>
  </si>
  <si>
    <t xml:space="preserve">direct</t>
  </si>
  <si>
    <t xml:space="preserve">—</t>
  </si>
  <si>
    <t xml:space="preserve">публичный прайс Syntx, подтверждён владельцем 03.08.2026</t>
  </si>
  <si>
    <t xml:space="preserve">Kie</t>
  </si>
  <si>
    <t xml:space="preserve">veo-3-1</t>
  </si>
  <si>
    <t xml:space="preserve">HIGH — бенчмарк Syntx подтверждён владельцем 03.08.2026</t>
  </si>
  <si>
    <t xml:space="preserve">да</t>
  </si>
  <si>
    <t xml:space="preserve">Veo Quality 1080p</t>
  </si>
  <si>
    <t xml:space="preserve">Veo Fast 720p</t>
  </si>
  <si>
    <t xml:space="preserve">Veo Fast 1080p</t>
  </si>
  <si>
    <t xml:space="preserve">Veo Lite 720p</t>
  </si>
  <si>
    <t xml:space="preserve">Veo Lite 1080p</t>
  </si>
  <si>
    <t xml:space="preserve">Seedance 2.0 4K</t>
  </si>
  <si>
    <t xml:space="preserve">сек</t>
  </si>
  <si>
    <t xml:space="preserve">ЦЕНА СНИЖЕНА 11.08.2026. Держал её член «безубыточность резерва»: цена выставлялась так, чтобы переключение на OpenRouter ($1,361/с) прошло в ноль. Но по R-11 от 27.07 Seedance 4K НИКОГДА не переключается — при 84,8 ₽ убытка на генерацию одна ступень съедала бы дневной лимит за шестьдесят роликов. То есть мы брали с клиента 75 кредитов за страховку, которой сами постановили не пользоваться. Цена теперь считается по единственной ноге, которая реально обслуживает: kie $1,040/с при 25%.
ПРИНЦИП: мы берём деньги за страховку, которую готовы заявить, и не берём за ту, от которой отказались письменно.
НОГА OPENROUTER СНЯТА, а не просто не оплачена: публиковать ногу, которой по R-11 запрещено пользоваться, значит разрешить движку ею воспользоваться. Строка обслуживается одним kie; при его недоступности 4K не отдаётся, клиенту предлагается 1080p — это и есть решение от 27.07, теперь выраженное данными, а не только текстом.</t>
  </si>
  <si>
    <t xml:space="preserve">seedance-2-0</t>
  </si>
  <si>
    <t xml:space="preserve">HIGH — ставки платно подтверждены; имена посредников исправлены 10.08.2026 (были переставлены)</t>
  </si>
  <si>
    <t xml:space="preserve">Seedance 2.0 1080p</t>
  </si>
  <si>
    <t xml:space="preserve">OpenRouter</t>
  </si>
  <si>
    <t xml:space="preserve">публичный прайс Syntx 28.07.2026, цена «итого», пересчёт на длину нашего клипа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</si>
  <si>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HIGH</t>
  </si>
  <si>
    <t xml:space="preserve">Seedance 2.0 720p</t>
  </si>
  <si>
    <t xml:space="preserve">публичный прайс Syntx 28.07.2026, цена «итого», пересчёт на длину нашего клипа</t>
  </si>
  <si>
    <t xml:space="preserve">Seedance 2.0 480p</t>
  </si>
  <si>
    <t xml:space="preserve">Seedance Fast 720p</t>
  </si>
  <si>
    <t xml:space="preserve">Seedance Fast 480p</t>
  </si>
  <si>
    <t xml:space="preserve">HappyHorse 1.1 720p</t>
  </si>
  <si>
    <t xml:space="preserve">alibaba/happyhorse-1.1</t>
  </si>
  <si>
    <t xml:space="preserve">HappyHorse 1.1 1080p</t>
  </si>
  <si>
    <t xml:space="preserve">HappyHorse 1.0 720p — СНЯТО</t>
  </si>
  <si>
    <t xml:space="preserve">СНЯТО 03.08.2026. Версия 1.0 дороже 1.1 при том же результате. 1.1 покрывает t2v, i2v и r2v.</t>
  </si>
  <si>
    <t xml:space="preserve">HappyHorse 1.0 1080p — СНЯТО</t>
  </si>
  <si>
    <t xml:space="preserve">СНЯТО С ПРОДАЖИ 03.08.2026 — версия 1.0 дороже 1.1 при том же результате (решение владельца)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</si>
  <si>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Wan 2.7 720p</t>
  </si>
  <si>
    <t xml:space="preserve">wan-2-7</t>
  </si>
  <si>
    <t xml:space="preserve">Wan 2.7 1080p</t>
  </si>
  <si>
    <t xml:space="preserve">Kling v3 720p (звук)</t>
  </si>
  <si>
    <t xml:space="preserve">ЕДИНСТВЕННАЯ НОГА — OpenRouter. Ноги kie у этой модели не существует: ни слага в адаптере, ни переопределения шлюза, ни в контракте маршрута. Ставка kie, по которой строка была оценена в ред.10, относилась к маршруту, которого нет. Пересчитано от реальной ноги 04.08.2026. Standard $0,126/с со звуком, $0,084/с без звука (Pro $0,168/$0,112 не продаём).</t>
  </si>
  <si>
    <t xml:space="preserve">kwaivgi/kling-v3.0-std</t>
  </si>
  <si>
    <t xml:space="preserve">HIGH — прайс OpenRouter, Standard</t>
  </si>
  <si>
    <t xml:space="preserve">Grok 720p</t>
  </si>
  <si>
    <t xml:space="preserve">Ставка подтверждена прайсом kie. Порог 40% по R-10 остаётся: xAI просит $0,05/$0,07, kie на 68-76% ниже, второй ноги нет, и kie уже двигал ставку на +50% за две недели. Оба условия правила в силе.</t>
  </si>
  <si>
    <t xml:space="preserve">grok-imagine-video</t>
  </si>
  <si>
    <t xml:space="preserve">HIGH — прайс kie 04.08.2026. Порог 40% сохраняется по R-10: подтверждение источника снимает сомнение в чтении ставки, но не в её устойчивости.</t>
  </si>
  <si>
    <t xml:space="preserve">Grok 480p</t>
  </si>
  <si>
    <t xml:space="preserve">Gemini Omni</t>
  </si>
  <si>
    <t xml:space="preserve">ДВЕ НОГИ ВОССТАНОВЛЕНЫ 04.08.2026. Решение от 03.08 снять AtlasCloud принималось при ставке $0,125-0,135, которая требовала 329 кредитов — плюс 21% клиенту за страховку. При подтверждённых $0,112 требуется 273, то есть плюс 6%. Модель несёт 8% потребления и не имеет альтернативного источника дешевле $0,084/с — за две ноги на такой строке 6% платить стоит.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</si>
  <si>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AtlasCloud</t>
  </si>
  <si>
    <t xml:space="preserve">gemini-omni-flash</t>
  </si>
  <si>
    <t xml:space="preserve">HIGH — ставка подтверждена платно</t>
  </si>
  <si>
    <t xml:space="preserve">ТАРИФ МАРШРУТА AtlasCloud: $0,112/с держится только на ступени -developer. Стандартная ступень $0,125-0,135, и при 273 кредитах это −11,3% вместо +0,25%. Риск управляется нами, а не поставщиком: суффикс закреплён именованной константой с тестом на три режима. Внешнего сигнала у потери суффикса нет — Atlas отвечает, отдаёт видео и просто выставляет счёт дороже.</t>
  </si>
  <si>
    <t xml:space="preserve">nano-banana</t>
  </si>
  <si>
    <t xml:space="preserve">карт</t>
  </si>
  <si>
    <t xml:space="preserve">ВТОРОЙ НОГИ НЕТ. В колонках резерва стояла побайтовая копия основной ставки без имени поставщика — заглушка, которую экспорт выгружал как настоящую ногу. Убрана 10.08.2026. Модель обслуживается одним LaoZhang: при его недоступности строка не переключается, а отказывает. Это факт для бюджета отказов, а не дефект цены — цена и маржа не менялись.</t>
  </si>
  <si>
    <t xml:space="preserve">LaoZhang</t>
  </si>
  <si>
    <t xml:space="preserve">gemini-2-5-flash-image</t>
  </si>
  <si>
    <t xml:space="preserve">HIGH; ЕДИНСТВЕННАЯ НОГА — резерва не существует</t>
  </si>
  <si>
    <t xml:space="preserve">nano-banana-2 1K</t>
  </si>
  <si>
    <t xml:space="preserve">Ноги поменяны местами 03.08: kie по опубликованной лестнице дешевле LaoZhang на этом рунге.</t>
  </si>
  <si>
    <t xml:space="preserve">nano-banana-2</t>
  </si>
  <si>
    <t xml:space="preserve">nano-banana-2-lite</t>
  </si>
  <si>
    <t xml:space="preserve">nano-banana-pro 1K</t>
  </si>
  <si>
    <t xml:space="preserve">nano-banana-pro</t>
  </si>
  <si>
    <t xml:space="preserve">nano-banana-pro 4K</t>
  </si>
  <si>
    <t xml:space="preserve">НЕ ПРОВЕРЕНО — публичным прайсом не подтверждено</t>
  </si>
  <si>
    <t xml:space="preserve">gpt-image-2 1K (low)</t>
  </si>
  <si>
    <t xml:space="preserve">СЕБЕСТОИМОСТЬ ЗАМЕРЕНА 09.08.2026: три платных вызова через маршрут gpt-image-2-vip, счётчик LaoZhang откалиброван по Nano Banana Pro ($0,09 = 9 единиц, значит единица = цент). Плоские $0,03 на всех трёх тирах. Основной исполнитель — LaoZhang (forceGateway), не kie. Цена оставлена прежней решением владельца: лестница держится аргументом качества, не стоимости.</t>
  </si>
  <si>
    <t xml:space="preserve">gpt-image-2-vip</t>
  </si>
  <si>
    <t xml:space="preserve">ЗАМЕРЕНО 09.08.2026 — платный вызов, счётчик откалиброван</t>
  </si>
  <si>
    <t xml:space="preserve">gpt-image-2 2K (medium)</t>
  </si>
  <si>
    <t xml:space="preserve">шт</t>
  </si>
  <si>
    <t xml:space="preserve">РУЧНОЕ ПЕРЕОПРЕДЕЛЕНИЕ ЦЕНЫ — решение владельца 09.08.2026. По правилу MAX(потолок; маржа; безубыток; ступень) при плоской себестоимости $0,03 все три тира дают 13 кредитов. Лестница 21/33 сохранена сознательно: она обоснована разницей качества выдачи, а не разницей закупки. Формула здесь НЕ действует — если решение отменяется, снять переопределение и вернуть =MAX(L;M;N).</t>
  </si>
  <si>
    <t xml:space="preserve">gpt-image-2 4K (high)</t>
  </si>
  <si>
    <t xml:space="preserve">seedream-4.5 1K</t>
  </si>
  <si>
    <t xml:space="preserve">seedream-4-5</t>
  </si>
  <si>
    <t xml:space="preserve">seedream-5.0 Pro 1K · 0-1 реф</t>
  </si>
  <si>
    <t xml:space="preserve">Диапазон 0-1 референс. kie берёт за входные картинки $0,0025 начиная СО ВТОРОЙ — первая бесплатна, и SKU image-to-image стоит столько же, сколько text-to-image. Значит один референс не меняет себестоимость и цену. Разрыв в бандах устранён 04.08.2026 переименованием, без изменения цены.</t>
  </si>
  <si>
    <t xml:space="preserve">seedream/5-pro-text-to-image</t>
  </si>
  <si>
    <t xml:space="preserve">seedream-5.0 Pro 2K · 0-1 реф</t>
  </si>
  <si>
    <t xml:space="preserve">seedream-5.0 Lite 2K</t>
  </si>
  <si>
    <t xml:space="preserve">seedream/5-lite-text-to-image</t>
  </si>
  <si>
    <t xml:space="preserve">flux-2-pro 1K</t>
  </si>
  <si>
    <t xml:space="preserve">СТУПЕНЬ ОБЪЯВЛЕНА ЯВНО как 1K (10.08.2026). Раньше строка несла бэнд default. Как только у модели появилась вторая ступень (2K), резолвер цены стал ключеваться на объявленный список ['1K','2K'] — и default-строка перестала находиться, то есть 1K-запросы уходили бы в отказ биллинга. Цена не менялась: это переименование бэнда. Правило: у модели не может быть одновременно ступени default и именованной — генератор экспорта проверяет это утверждением.</t>
  </si>
  <si>
    <t xml:space="preserve">flux-2-pro / black-forest-labs/flux.2-pro</t>
  </si>
  <si>
    <t xml:space="preserve">ЗАМЕРЕНО — kie, 5 кредитов при $0,025; ступень объявлена явно 10.08.2026</t>
  </si>
  <si>
    <t xml:space="preserve">recraft-v4</t>
  </si>
  <si>
    <t xml:space="preserve">у Syntx нет такой модели — сравнение неприменимо</t>
  </si>
  <si>
    <t xml:space="preserve">recraft-v4-vector</t>
  </si>
  <si>
    <t xml:space="preserve">nano-banana-pro 2K</t>
  </si>
  <si>
    <t xml:space="preserve">nano-banana-2 2K</t>
  </si>
  <si>
    <t xml:space="preserve">тир качества — ступень +15% к предыдущему тиру</t>
  </si>
  <si>
    <t xml:space="preserve">nano-banana-2 4K</t>
  </si>
  <si>
    <t xml:space="preserve">тир качества — ступень +15% к предыдущему тиру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</si>
  <si>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seedream-4.5 2K</t>
  </si>
  <si>
    <t xml:space="preserve">seedream-4.5 4K</t>
  </si>
  <si>
    <t xml:space="preserve">seedream-5.0 Lite 3K</t>
  </si>
  <si>
    <t xml:space="preserve">seedream-5.0 Lite 4K</t>
  </si>
  <si>
    <t xml:space="preserve">HappyHorse 1.1 i2v 720p</t>
  </si>
  <si>
    <t xml:space="preserve">Основной шлюз OpenRouter, как и у t2v. Цена в паритете с t2v: формула OpenRouter входного слагаемого не содержит. kie остаётся резервом.</t>
  </si>
  <si>
    <t xml:space="preserve">HappyHorse 1.1 i2v 1080p</t>
  </si>
  <si>
    <t xml:space="preserve">HappyHorse 1.1 r2v 720p</t>
  </si>
  <si>
    <t xml:space="preserve">HappyHorse 1.1 r2v 1080p</t>
  </si>
  <si>
    <t xml:space="preserve">HappyHorse 1.0 i2v 720p — СНЯТО</t>
  </si>
  <si>
    <t xml:space="preserve">Маршрут только kie, посекундно по той же ставке, что t2v. Входная длительность не тарифицируется.</t>
  </si>
  <si>
    <t xml:space="preserve">HappyHorse 1.0 r2v 720p — СНЯТО</t>
  </si>
  <si>
    <t xml:space="preserve">HappyHorse 1.0 video-edit 720p</t>
  </si>
  <si>
    <t xml:space="preserve">HappyHorse 1.0 video-edit 1080p</t>
  </si>
  <si>
    <t xml:space="preserve">Seedream 5.0 Pro 1K · 2-10 реф</t>
  </si>
  <si>
    <t xml:space="preserve">Строка для 2-10 референсов. 0-1 референс — по обычной строке. Себестоимость = база + 9 x $0.0025.</t>
  </si>
  <si>
    <t xml:space="preserve">seedream/5-pro-image-to-image</t>
  </si>
  <si>
    <t xml:space="preserve">Seedream 5.0 Pro 2K · 2-10 реф</t>
  </si>
  <si>
    <t xml:space="preserve">Seedance 2.0 r2v 480p</t>
  </si>
  <si>
    <t xml:space="preserve">РЕЗЕРВ KIE ВОССТАНОВЛЕН 11.08.2026 по постановлению владельца. Ставка kie на r2v равна его же ставке на t2v — правило «вход+выход», на котором строилась ред.8, в текущей карточке отсутствует. Пометка ЕДИНСТВЕННАЯ была ошибкой разметки, а не отсутствием ноги. Цена не меняется: строка зеркалит t2v, а цена t2v на этих ступенях уже держит безубыток той же ноги kie.</t>
  </si>
  <si>
    <t xml:space="preserve">bytedance/seedance-2.0</t>
  </si>
  <si>
    <t xml:space="preserve">HIGH — обе ноги оплачены; резерв восстановлен 11.08.2026</t>
  </si>
  <si>
    <t xml:space="preserve">Seedance 2.0 r2v 720p</t>
  </si>
  <si>
    <t xml:space="preserve">Seedance 2.0 r2v 1080p</t>
  </si>
  <si>
    <t xml:space="preserve">Seedance 2.0 r2v 4K</t>
  </si>
  <si>
    <t xml:space="preserve">ОСНОВНАЯ НОГА СМЕНЕНА НА KIE 11.08.2026, цена зеркалит t2v той же ступени. Карточка kie тарифицирует r2v 4K по $1,040/с — столько же, сколько t2v, — то есть дешевле нашей прежней основной OpenRouter ($1,361/с). Строка стояла на дорогой ноге с ред.8, когда мы считали, что kie метрит референс как вход+выход. Снижение 2910 -&gt; 2108, минус 27,6% клиенту, на поставщике, которому мы и так платим. OpenRouter при новой цене даёт −3,5% и в лестницу не допускается.</t>
  </si>
  <si>
    <t xml:space="preserve">HIGH — ставка kie оплачена; смена основной ноги 11.08.2026</t>
  </si>
  <si>
    <t xml:space="preserve">Seedance Fast r2v 480p</t>
  </si>
  <si>
    <t xml:space="preserve">РЕЗЕРВ KIE ВОССТАНОВЛЕН 11.08.2026 по постановлению владельца — ставка kie на r2v равна его же ставке на t2v. Пометка ЕДИНСТВЕННАЯ была ошибкой разметки. Цена не меняется.</t>
  </si>
  <si>
    <t xml:space="preserve">Seedance Fast r2v 720p</t>
  </si>
  <si>
    <t xml:space="preserve">Kling v3 720p (без звука)</t>
  </si>
  <si>
    <t xml:space="preserve">Kling v3 1080p (звук) — СНЯТО</t>
  </si>
  <si>
    <t xml:space="preserve">СНЯТО 04.08.2026: у модели в каталоге объявлен единственный рунг 720p. Строки относились к рунгам, которых нет в продаже.</t>
  </si>
  <si>
    <t xml:space="preserve">kling-v3-0-std</t>
  </si>
  <si>
    <t xml:space="preserve">HIGH — карточка kie, платно проверен</t>
  </si>
  <si>
    <t xml:space="preserve">Kling v3 4K (звук) — СНЯТО</t>
  </si>
  <si>
    <t xml:space="preserve">Veo Quality 4K</t>
  </si>
  <si>
    <t xml:space="preserve">Ставка kie, подтверждена платными вызовами. Цена по полу маржи: потолок щедрости ниже пола (Syntx продаёт 4K дешевле нашей закупки), поэтому здесь мы сознательно менее щедры.</t>
  </si>
  <si>
    <t xml:space="preserve">HIGH — kie, платно проверен</t>
  </si>
  <si>
    <t xml:space="preserve">Veo Fast 4K</t>
  </si>
  <si>
    <t xml:space="preserve">veo-3-1-fast</t>
  </si>
  <si>
    <t xml:space="preserve">Veo Lite 4K</t>
  </si>
  <si>
    <t xml:space="preserve">veo-3-1-lite</t>
  </si>
  <si>
    <t xml:space="preserve">Kling v3 1080p (без звука) — СНЯТО</t>
  </si>
  <si>
    <t xml:space="preserve">HIGH — карточка kie</t>
  </si>
  <si>
    <t xml:space="preserve">Kling v3 720p i2v (звук)</t>
  </si>
  <si>
    <t xml:space="preserve">Wan 2.7 720p i2v</t>
  </si>
  <si>
    <t xml:space="preserve">ПЕРЕСЧИТАНО НА KIE 11.08.2026 ПО ПЛАТНОМУ ВЫЗОВУ. Задача d1f623742cc98f2af897ab45048eb63d: Wan 2.7 i2v, kie, 720p, 5 с, списано $0,40 = ровно $0,08/с. Совпадает с карточкой kie от 02-08 до цента, расхождение 0,00%.
ВЫЗОВ ШЁЛ ЧЕРЕЗ НАШ АДАПТЕР, А НЕ ЧЕРЕЗ curl — и это то, что делает его доказательством. curl подтвердил бы, что работает вендор, и ничего не сказал бы про код, который его зовёт. Ред.18 откатывали именно потому, что вендор работал, ставка была верна, а позвать его наш код не мог.
КАНАЛ УЧТЁН: kie идёт прямым каналом (100,6315 ₽/$), OpenRouter своим (106,182 ₽/$); разница каналов сама по себе 5,5%, и цена считается по множителю той ноги, которая обслуживает.
РЕЖИМЫ СОШЛИСЬ: i2v теперь зеркалит t2v по ссылке, а не пересчитывается отдельно. Разница в цене между режимами реальна только тогда, когда режимы уезжают к разным ногам — здесь они больше не уезжают.</t>
  </si>
  <si>
    <t xml:space="preserve">alibaba/wan-2.7</t>
  </si>
  <si>
    <t xml:space="preserve">HIGH — платный вызов через подключённый слаг 11.08.2026, ставка подтверждена до цента</t>
  </si>
  <si>
    <t xml:space="preserve">Wan 2.7 1080p i2v</t>
  </si>
  <si>
    <t xml:space="preserve">flux-2-pro 1K · 2-8 реф</t>
  </si>
  <si>
    <t xml:space="preserve">СРОК 2026-08-24 СНЯТ 11.08.2026 — он был поставлен неверно. Строка не является риском: при цене 14 кредитов ОБЕ ноги выше порога — kie 45,7%, OpenRouter 27,8%. Гасить работающую строку, которая проходит порог на обеих ногах, строго хуже, чем держать её, возможно, на три кредита дороже нужного.
ЧТО НА САМОМ ДЕЛЕ РЕШАЕТ ПЛАТНЫЙ ВЫЗОВ: не выживание строки, а справедливость цены. Если kie принимает 2-8 референсов, верная цена 11 и полоса схлопывается в базовую строку. Если не принимает — запрос уходит на OpenRouter, и 11 кредитов дают там 8,2%, ниже порога, то есть 14 обязательны. Обе цены не могут быть верны одновременно, и без замера безопасна только большая.
КЛАССИФИКАЦИЯ: не дедлайн соответствия, а возможная переплата клиента в 3 кредита. Остаётся в списке как вопрос честности цены, а не как срок, после которого что-то отключается.</t>
  </si>
  <si>
    <t xml:space="preserve">black-forest-labs/flux.2-pro</t>
  </si>
  <si>
    <t xml:space="preserve">СРЕДНЯЯ — обе ноги подписаны и обе выше порога; не подтверждено, принимает ли kie 2-8 референсов</t>
  </si>
  <si>
    <t xml:space="preserve">Veo Quality 720p i2v</t>
  </si>
  <si>
    <t xml:space="preserve">НУЛЕВАЯ ДЕЛЬТА, подтверждено письменно 04.08.2026. Режим не меняет закупку относительно строки «Veo Quality 720p» — цена та же.</t>
  </si>
  <si>
    <t xml:space="preserve">Veo Quality 1080p i2v</t>
  </si>
  <si>
    <t xml:space="preserve">НУЛЕВАЯ ДЕЛЬТА, подтверждено письменно 04.08.2026. Режим не меняет закупку относительно строки «Veo Quality 1080p» — цена та же.</t>
  </si>
  <si>
    <t xml:space="preserve">Veo Fast 720p i2v</t>
  </si>
  <si>
    <t xml:space="preserve">НУЛЕВАЯ ДЕЛЬТА, подтверждено письменно 04.08.2026. Режим не меняет закупку относительно строки «Veo Fast 720p» — цена та же.</t>
  </si>
  <si>
    <t xml:space="preserve">Veo Fast 1080p i2v</t>
  </si>
  <si>
    <t xml:space="preserve">НУЛЕВАЯ ДЕЛЬТА, подтверждено письменно 04.08.2026. Режим не меняет закупку относительно строки «Veo Fast 1080p» — цена та же.</t>
  </si>
  <si>
    <t xml:space="preserve">Veo Lite 720p i2v</t>
  </si>
  <si>
    <t xml:space="preserve">НУЛЕВАЯ ДЕЛЬТА, подтверждено письменно 04.08.2026. Режим не меняет закупку относительно строки «Veo Lite 720p» — цена та же.</t>
  </si>
  <si>
    <t xml:space="preserve">Veo Lite 1080p i2v</t>
  </si>
  <si>
    <t xml:space="preserve">НУЛЕВАЯ ДЕЛЬТА, подтверждено письменно 04.08.2026. Режим не меняет закупку относительно строки «Veo Lite 1080p» — цена та же.</t>
  </si>
  <si>
    <t xml:space="preserve">seedream-4.5 1K i2i</t>
  </si>
  <si>
    <t xml:space="preserve">НУЛЕВАЯ ДЕЛЬТА, подтверждено письменно 04.08.2026. Режим не меняет закупку относительно строки «seedream-4.5 1K» — цена та же.</t>
  </si>
  <si>
    <t xml:space="preserve">seedream-4.5 2K i2i</t>
  </si>
  <si>
    <t xml:space="preserve">НУЛЕВАЯ ДЕЛЬТА, подтверждено письменно 04.08.2026. Режим не меняет закупку относительно строки «seedream-4.5 2K» — цена та же.</t>
  </si>
  <si>
    <t xml:space="preserve">seedream-4.5 4K i2i</t>
  </si>
  <si>
    <t xml:space="preserve">НУЛЕВАЯ ДЕЛЬТА, подтверждено письменно 04.08.2026. Режим не меняет закупку относительно строки «seedream-4.5 4K» — цена та же.</t>
  </si>
  <si>
    <t xml:space="preserve">gpt-image-2 i2i (low)</t>
  </si>
  <si>
    <t xml:space="preserve">НУЛЕВАЯ ДЕЛЬТА к своему тиру t2i. LaoZhang берёт плоские $0,03 независимо от входа, поэтому редактирование стоит ровно столько же, сколько генерация. Цена — зеркало строки тира, а не отдельный расчёт: раньше строка несла собственные $0,05/$0,08 и при схлопывании цены ушла бы в −16,9% и −87%.</t>
  </si>
  <si>
    <t xml:space="preserve">gpt-image-2 i2i (medium)</t>
  </si>
  <si>
    <t xml:space="preserve">gpt-image-2 i2i (high)</t>
  </si>
  <si>
    <t xml:space="preserve">nano-banana i2i</t>
  </si>
  <si>
    <t xml:space="preserve">nano-banana-2 1K i2i</t>
  </si>
  <si>
    <t xml:space="preserve">НУЛЕВАЯ ДЕЛЬТА, подтверждено письменно 04.08.2026. Режим не меняет закупку относительно строки «nano-banana-2 1K» — цена та же.</t>
  </si>
  <si>
    <t xml:space="preserve">nano-banana-2-lite i2i</t>
  </si>
  <si>
    <t xml:space="preserve">НУЛЕВАЯ ДЕЛЬТА, подтверждено письменно 04.08.2026. Режим не меняет закупку относительно строки «nano-banana-2-lite» — цена та же.</t>
  </si>
  <si>
    <t xml:space="preserve">nano-banana-pro 1K i2i</t>
  </si>
  <si>
    <t xml:space="preserve">Seedance 2.0 i2v 480p</t>
  </si>
  <si>
    <t xml:space="preserve">НУЛЕВАЯ ДЕЛЬТА, подтверждено письменно 04.08.2026. Режим не меняет закупку относительно строки «Seedance 2.0 480p» — цена та же.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</si>
  <si>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Seedance 2.0 i2v 720p</t>
  </si>
  <si>
    <t xml:space="preserve">НУЛЕВАЯ ДЕЛЬТА, подтверждено письменно 04.08.2026. Режим не меняет закупку относительно строки «Seedance 2.0 720p» — цена та же.</t>
  </si>
  <si>
    <t xml:space="preserve">Seedance 2.0 i2v 1080p</t>
  </si>
  <si>
    <t xml:space="preserve">НУЛЕВАЯ ДЕЛЬТА, подтверждено письменно 04.08.2026. Режим не меняет закупку относительно строки «Seedance 2.0 1080p» — цена та же.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</si>
  <si>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Seedance Fast i2v 480p</t>
  </si>
  <si>
    <t xml:space="preserve">НУЛЕВАЯ ДЕЛЬТА, подтверждено письменно 04.08.2026. Режим не меняет закупку относительно строки «Seedance Fast 480p» — цена та же.
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</si>
  <si>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Seedance Fast i2v 720p</t>
  </si>
  <si>
    <t xml:space="preserve">НУЛЕВАЯ ДЕЛЬТА, подтверждено письменно 04.08.2026. Режим не меняет закупку относительно строки «Seedance Fast 720p» — цена та же.</t>
  </si>
  <si>
    <t xml:space="preserve">Kling v3 720p i2v (без звука)</t>
  </si>
  <si>
    <t xml:space="preserve">Звук у kling — переключатель пользователя, поэтому строка без звука обязательна: иначе запрос без звука возьмёт цену со звуком.</t>
  </si>
  <si>
    <t xml:space="preserve">Grok 720p i2v</t>
  </si>
  <si>
    <t xml:space="preserve">НУЛЕВАЯ ДЕЛЬТА: kie тарифицирует image-to-video по ставке text-to-video. Цена та же, что у «Grok 720p».</t>
  </si>
  <si>
    <t xml:space="preserve">ГИПОТЕЗА — kie на 68-76% ниже прайс-листа xAI. Перепроверка каждые 14 дней (R-8).</t>
  </si>
  <si>
    <t xml:space="preserve">Grok 480p i2v</t>
  </si>
  <si>
    <t xml:space="preserve">НУЛЕВАЯ ДЕЛЬТА: kie тарифицирует image-to-video по ставке text-to-video. Цена та же, что у «Grok 480p».</t>
  </si>
  <si>
    <t xml:space="preserve">flux-2-pro 2K</t>
  </si>
  <si>
    <t xml:space="preserve">ЗАМЕРЕНО. Калибровка: 1K = 5 кредитов kie при подписанных $0,025, значит кредит kie = $0,005; отсюда 2K = 7 кредитов = $0,035. «2K» у kie — это 1536x1536, то есть 2,25x пикселей за 1,40x стоимости. Помегапиксельная модель Black Forest Labs ($0,12) промахивается вчетверо — поэтому оценивать было нельзя, только мерить.</t>
  </si>
  <si>
    <t xml:space="preserve">flux-2-pro</t>
  </si>
  <si>
    <t xml:space="preserve">ЗАМЕРЕНО 09.08.2026 — 7 кредитов kie, кредит откалиброван по ступени 1K</t>
  </si>
  <si>
    <t xml:space="preserve">flux-2-pro 2K i2i</t>
  </si>
  <si>
    <t xml:space="preserve">ПОДПИСАНО 11.08.2026 — конфигурация продавалась без строки затрат. Себестоимость равна ступени 2K: kie берёт за изображение плоско, вход не тарифицируется. ГЛУБИНА 1: OpenRouter на этой ступени считает по мегапикселям, и резерва здесь не существует ни за какие деньги — при 15 кредитах он даёт от −51% (если отдаёт 1536², 2,36 МП) до −169% (если 2048², 4,19 МП). Разброс в самой оценке и есть довод: ярлык «2K» у двух вендоров означает разную площадь, поэтому нога за мегапиксель не может быть резервом для ступени, объявленной ярлыком.</t>
  </si>
  <si>
    <t xml:space="preserve">HIGH — ставка kie замерена 09.08.2026; нулевая дельта ко входу</t>
  </si>
  <si>
    <t xml:space="preserve">flux-2-pro 2K · 2-8 реф</t>
  </si>
  <si>
    <t xml:space="preserve">Wan 2.7 r2v 720p — НЕ ЗАВОДИЛАСЬ</t>
  </si>
  <si>
    <t xml:space="preserve">СТРОКА СНЯТА В ДЕНЬ ЗАВЕДЕНИЯ 11.08.2026: маршрутов wan/2-7-r2v и wan/2-7-videoedit у нас нет вовсе. Ставка kie на эти режимы известна и верна, но подключённого маршрута под ней нет ни на одной ноге. Осторожность по резерву была правильной и недостаточной: вопрос был не в том, обслуживает ли режим резерв, а в том, что основная нога тоже не подключена.</t>
  </si>
  <si>
    <t xml:space="preserve">Wan 2.7 r2v 1080p — НЕ ЗАВОДИЛАСЬ</t>
  </si>
  <si>
    <t xml:space="preserve">Wan 2.7 video-edit 720p — НЕ ЗАВОДИЛАСЬ</t>
  </si>
  <si>
    <t xml:space="preserve">Wan 2.7 video-edit 1080p — НЕ ЗАВОДИЛАСЬ</t>
  </si>
  <si>
    <t xml:space="preserve">ЭКСПОРТ ДЛЯ ДВИЖКА МАРШРУТИЗАЦИИ · ВЕРСИЯ 2026-08-11 · РЕД. 21 · ЛИСТ ГЕНЕРИРУЕТСЯ ЦЕЛИКОМ ИЗ «Сетка FX», НИКОГДА НЕ ПРАВИТСЯ ТОЧЕЧНО</t>
  </si>
  <si>
    <t xml:space="preserve">КЛЮЧ КОНФИГУРАЦИИ — A+B+C+D+E+Y (model_id | rung | mode | audio | quality | aspect); КЛЮЧ СТРОКИ добавляет ногу</t>
  </si>
  <si>
    <t xml:space="preserve">СТРОК ДАННЫХ: 132   ·   КОНТРОЛЬНАЯ СУММА КРЕДИТОВ: 26577   ·   КОНТРОЛЬНАЯ СУММА МАРЖИ: 32.915903   ·   РАЗЛИЧНЫХ КЛЮЧЕЙ СТРОК: 132</t>
  </si>
  <si>
    <t xml:space="preserve">НОВОЕ В РЕД. 21: добавлена ЧЕТВЁРТАЯ контрольная сумма — отпечаток порядка колонок. Три прежние складывают числа и слепы к боковому сдвигу. Цены wan i2v НЕ пересчитаны: маршрут подключён, но через него не прошло ни одного платного вызова. заведена третья ось — ПОДКЛЮЧЁННОСТЬ МАРШРУТА по ногам. Ставка отвечает «сколько стоит», выбор вендора — «к кому идём», и ни одна из двух не отвечает «можем ли мы его позвать». Генератор отказывается выгружать строку, у которой маршрут основной ноги не подтверждён, и ногу-резерв с неподтверждённым маршрутом. Откат по wan i2v: цена вернулась на 214/321, нога 1 = OpenRouter — маршрут wan/2-7-image-to-video у kie не подключён, кадровые задания всегда обслуживал резерв. Срез −24% не отменён, а стал условием: наступает в день подключения маршрута. база тарификации переехала со СТРОКИ на НОГУ — вендор с плоской ценой за клип и вендор с ценой за секунду больше не обязаны стоять на одной строке под одной базой. Добавлена колонка «площадь_МП» для ног, тарифицируемых за мегапиксель: ярлык ступени не является драйвером затрат. Генератор отказывается ставить ногу за мегапиксель резервом на ступень, объявленную ярлыком. колонка «Статус второй ноги» переименована в «ГЛУБИНА ЛЕСТНИЦЫ» и содержит ЧИСЛО ног у конфигурации, а не да/нет — имя описывало конфигурацию, но звучало как свойство ноги, и под лестницей перестало быть верным. Формат открыт на третью и далее позицию; роль выводится из позиции. Ни одна ставка третьей ноги не подписана. «РИСК МАРШРУТА» отделён от «ДОСТОВЕРНОСТЬ» — риск, которым управляем мы, больше не пишется теми же словами, что неквотируемая ставка. «ступень_по_умолчанию» публикует решение владельца от 10.08.2026: умолчание модели — её САМАЯ ДЕШЁВАЯ ступень, всегда; появление более дорогой ступени никогда не двигает умолчание вверх. Правило теперь данные, а не код. Генератор отказывается выгружать ногу без имени посредника.</t>
  </si>
  <si>
    <t xml:space="preserve">ОТПЕЧАТОК ПОРЯДКА КОЛОНОК: da54ec1b730a358b   ·   КОЛОНОК: 34   —   четвёртая контрольная сумма, добавлена 11.08.2026. Три прежние суммы складывают числа и поэтому НЕ МЕНЯЮТСЯ при боковом сдвиге колонок. Этот отпечаток — хэш имён колонок в их порядке; он ломается от сдвига, вставки и переименования. Если он не совпал, а суммы совпали — читайте структуру, а не цифры.</t>
  </si>
  <si>
    <t xml:space="preserve">model_id</t>
  </si>
  <si>
    <t xml:space="preserve">rung</t>
  </si>
  <si>
    <t xml:space="preserve">mode</t>
  </si>
  <si>
    <t xml:space="preserve">audio</t>
  </si>
  <si>
    <t xml:space="preserve">quality</t>
  </si>
  <si>
    <t xml:space="preserve">leg</t>
  </si>
  <si>
    <t xml:space="preserve">Роль</t>
  </si>
  <si>
    <t xml:space="preserve">ПОСРЕДНИК</t>
  </si>
  <si>
    <t xml:space="preserve">АПСТРЕМ</t>
  </si>
  <si>
    <t xml:space="preserve">Множ.</t>
  </si>
  <si>
    <t xml:space="preserve">База тарификации</t>
  </si>
  <si>
    <t xml:space="preserve">Landed ₽/ед</t>
  </si>
  <si>
    <t xml:space="preserve">Себест ₽</t>
  </si>
  <si>
    <t xml:space="preserve">Себест известна</t>
  </si>
  <si>
    <t xml:space="preserve">ДОСТОВЕРНОСТЬ</t>
  </si>
  <si>
    <t xml:space="preserve">Кредитов</t>
  </si>
  <si>
    <t xml:space="preserve">Маржа ноги</t>
  </si>
  <si>
    <t xml:space="preserve">ГЛУБИНА ЛЕСТНИЦЫ</t>
  </si>
  <si>
    <t xml:space="preserve">Источник</t>
  </si>
  <si>
    <t xml:space="preserve">Дата ISO</t>
  </si>
  <si>
    <t xml:space="preserve">Количество</t>
  </si>
  <si>
    <t xml:space="preserve">aspect</t>
  </si>
  <si>
    <t xml:space="preserve">refs_min</t>
  </si>
  <si>
    <t xml:space="preserve">refs_max</t>
  </si>
  <si>
    <t xml:space="preserve">цена_в_полосе</t>
  </si>
  <si>
    <t xml:space="preserve">доплата_$_за_картинку</t>
  </si>
  <si>
    <t xml:space="preserve">КЛЮЧ конфигурации</t>
  </si>
  <si>
    <t xml:space="preserve">КЛЮЧ строки</t>
  </si>
  <si>
    <t xml:space="preserve">РИСК МАРШРУТА</t>
  </si>
  <si>
    <t xml:space="preserve">ступень_по_умолчанию</t>
  </si>
  <si>
    <t xml:space="preserve">площадь_МП</t>
  </si>
  <si>
    <t xml:space="preserve">720p</t>
  </si>
  <si>
    <t xml:space="preserve">t2v</t>
  </si>
  <si>
    <t xml:space="preserve">основная</t>
  </si>
  <si>
    <t xml:space="preserve">Google</t>
  </si>
  <si>
    <t xml:space="preserve">прямой</t>
  </si>
  <si>
    <t xml:space="preserve">Сетка FX стр.9</t>
  </si>
  <si>
    <t xml:space="preserve">2026-08-11</t>
  </si>
  <si>
    <t xml:space="preserve">any</t>
  </si>
  <si>
    <t xml:space="preserve">плоская</t>
  </si>
  <si>
    <t xml:space="preserve">veo-3-1|720p|t2v|да|-|any</t>
  </si>
  <si>
    <t xml:space="preserve">veo-3-1|720p|t2v|да|-|any|нога1</t>
  </si>
  <si>
    <t xml:space="preserve">1080p</t>
  </si>
  <si>
    <t xml:space="preserve">Сетка FX стр.10</t>
  </si>
  <si>
    <t xml:space="preserve">veo-3-1|1080p|t2v|да|-|any</t>
  </si>
  <si>
    <t xml:space="preserve">veo-3-1|1080p|t2v|да|-|any|нога1</t>
  </si>
  <si>
    <t xml:space="preserve">Сетка FX стр.11</t>
  </si>
  <si>
    <t xml:space="preserve">veo-3-1-fast|720p|t2v|да|-|any</t>
  </si>
  <si>
    <t xml:space="preserve">veo-3-1-fast|720p|t2v|да|-|any|нога1</t>
  </si>
  <si>
    <t xml:space="preserve">Сетка FX стр.12</t>
  </si>
  <si>
    <t xml:space="preserve">veo-3-1-fast|1080p|t2v|да|-|any</t>
  </si>
  <si>
    <t xml:space="preserve">veo-3-1-fast|1080p|t2v|да|-|any|нога1</t>
  </si>
  <si>
    <t xml:space="preserve">Сетка FX стр.13</t>
  </si>
  <si>
    <t xml:space="preserve">veo-3-1-lite|720p|t2v|да|-|any</t>
  </si>
  <si>
    <t xml:space="preserve">veo-3-1-lite|720p|t2v|да|-|any|нога1</t>
  </si>
  <si>
    <t xml:space="preserve">Сетка FX стр.14</t>
  </si>
  <si>
    <t xml:space="preserve">veo-3-1-lite|1080p|t2v|да|-|any</t>
  </si>
  <si>
    <t xml:space="preserve">veo-3-1-lite|1080p|t2v|да|-|any|нога1</t>
  </si>
  <si>
    <t xml:space="preserve">4K</t>
  </si>
  <si>
    <t xml:space="preserve">нет</t>
  </si>
  <si>
    <t xml:space="preserve">ByteDance</t>
  </si>
  <si>
    <t xml:space="preserve">за секунду</t>
  </si>
  <si>
    <t xml:space="preserve">Сетка FX стр.15</t>
  </si>
  <si>
    <t xml:space="preserve">seedance-2-0|4K|t2v|нет|-|any</t>
  </si>
  <si>
    <t xml:space="preserve">seedance-2-0|4K|t2v|нет|-|any|нога1</t>
  </si>
  <si>
    <t xml:space="preserve">480p</t>
  </si>
  <si>
    <t xml:space="preserve">Сетка FX стр.16</t>
  </si>
  <si>
    <t xml:space="preserve">seedance-2-0|1080p|t2v|нет|-|any</t>
  </si>
  <si>
    <t xml:space="preserve">seedance-2-0|1080p|t2v|нет|-|any|нога1</t>
  </si>
  <si>
    <t xml:space="preserve">резервная</t>
  </si>
  <si>
    <t xml:space="preserve">seedance-2-0|1080p|t2v|нет|-|any|нога2</t>
  </si>
  <si>
    <t xml:space="preserve">Сетка FX стр.17</t>
  </si>
  <si>
    <t xml:space="preserve">seedance-2-0|720p|t2v|нет|-|any</t>
  </si>
  <si>
    <t xml:space="preserve">seedance-2-0|720p|t2v|нет|-|any|нога1</t>
  </si>
  <si>
    <t xml:space="preserve">seedance-2-0|720p|t2v|нет|-|any|нога2</t>
  </si>
  <si>
    <t xml:space="preserve">Сетка FX стр.18</t>
  </si>
  <si>
    <t xml:space="preserve">seedance-2-0|480p|t2v|нет|-|any</t>
  </si>
  <si>
    <t xml:space="preserve">seedance-2-0|480p|t2v|нет|-|any|нога1</t>
  </si>
  <si>
    <t xml:space="preserve">seedance-2-0|480p|t2v|нет|-|any|нога2</t>
  </si>
  <si>
    <t xml:space="preserve">seedance-2-0-fast</t>
  </si>
  <si>
    <t xml:space="preserve">Сетка FX стр.19</t>
  </si>
  <si>
    <t xml:space="preserve">seedance-2-0-fast|720p|t2v|нет|-|any</t>
  </si>
  <si>
    <t xml:space="preserve">seedance-2-0-fast|720p|t2v|нет|-|any|нога1</t>
  </si>
  <si>
    <t xml:space="preserve">seedance-2-0-fast|720p|t2v|нет|-|any|нога2</t>
  </si>
  <si>
    <t xml:space="preserve">Сетка FX стр.20</t>
  </si>
  <si>
    <t xml:space="preserve">seedance-2-0-fast|480p|t2v|нет|-|any</t>
  </si>
  <si>
    <t xml:space="preserve">seedance-2-0-fast|480p|t2v|нет|-|any|нога1</t>
  </si>
  <si>
    <t xml:space="preserve">seedance-2-0-fast|480p|t2v|нет|-|any|нога2</t>
  </si>
  <si>
    <t xml:space="preserve">happyhorse-1-1</t>
  </si>
  <si>
    <t xml:space="preserve">Alibaba</t>
  </si>
  <si>
    <t xml:space="preserve">Сетка FX стр.21</t>
  </si>
  <si>
    <t xml:space="preserve">happyhorse-1-1|720p|t2v|нет|-|any</t>
  </si>
  <si>
    <t xml:space="preserve">happyhorse-1-1|720p|t2v|нет|-|any|нога1</t>
  </si>
  <si>
    <t xml:space="preserve">happyhorse-1-1|720p|t2v|нет|-|any|нога2</t>
  </si>
  <si>
    <t xml:space="preserve">Сетка FX стр.22</t>
  </si>
  <si>
    <t xml:space="preserve">happyhorse-1-1|1080p|t2v|нет|-|any</t>
  </si>
  <si>
    <t xml:space="preserve">happyhorse-1-1|1080p|t2v|нет|-|any|нога1</t>
  </si>
  <si>
    <t xml:space="preserve">happyhorse-1-1|1080p|t2v|нет|-|any|нога2</t>
  </si>
  <si>
    <t xml:space="preserve">Сетка FX стр.25</t>
  </si>
  <si>
    <t xml:space="preserve">wan-2-7|720p|t2v|нет|-|any</t>
  </si>
  <si>
    <t xml:space="preserve">wan-2-7|720p|t2v|нет|-|any|нога1</t>
  </si>
  <si>
    <t xml:space="preserve">wan-2-7|720p|t2v|нет|-|any|нога2</t>
  </si>
  <si>
    <t xml:space="preserve">Сетка FX стр.26</t>
  </si>
  <si>
    <t xml:space="preserve">wan-2-7|1080p|t2v|нет|-|any</t>
  </si>
  <si>
    <t xml:space="preserve">wan-2-7|1080p|t2v|нет|-|any|нога1</t>
  </si>
  <si>
    <t xml:space="preserve">wan-2-7|1080p|t2v|нет|-|any|нога2</t>
  </si>
  <si>
    <t xml:space="preserve">Kuaishou</t>
  </si>
  <si>
    <t xml:space="preserve">Сетка FX стр.27</t>
  </si>
  <si>
    <t xml:space="preserve">kling-v3-0-std|720p|t2v|да|-|any</t>
  </si>
  <si>
    <t xml:space="preserve">kling-v3-0-std|720p|t2v|да|-|any|нога1</t>
  </si>
  <si>
    <t xml:space="preserve">xAI</t>
  </si>
  <si>
    <t xml:space="preserve">Сетка FX стр.28</t>
  </si>
  <si>
    <t xml:space="preserve">grok-imagine-video|720p|t2v|нет|-|any</t>
  </si>
  <si>
    <t xml:space="preserve">grok-imagine-video|720p|t2v|нет|-|any|нога1</t>
  </si>
  <si>
    <t xml:space="preserve">Сетка FX стр.29</t>
  </si>
  <si>
    <t xml:space="preserve">grok-imagine-video|480p|t2v|нет|-|any</t>
  </si>
  <si>
    <t xml:space="preserve">grok-imagine-video|480p|t2v|нет|-|any|нога1</t>
  </si>
  <si>
    <t xml:space="preserve">default</t>
  </si>
  <si>
    <t xml:space="preserve">Сетка FX стр.30</t>
  </si>
  <si>
    <t xml:space="preserve">gemini-omni-flash|default|t2v|да|-|any</t>
  </si>
  <si>
    <t xml:space="preserve">gemini-omni-flash|default|t2v|да|-|any|нога1</t>
  </si>
  <si>
    <t xml:space="preserve">gemini-omni-flash|default|t2v|да|-|any|нога2</t>
  </si>
  <si>
    <t xml:space="preserve">t2i</t>
  </si>
  <si>
    <t xml:space="preserve">-</t>
  </si>
  <si>
    <t xml:space="preserve">за изображение</t>
  </si>
  <si>
    <t xml:space="preserve">Сетка FX стр.31</t>
  </si>
  <si>
    <t xml:space="preserve">gemini-2-5-flash-image|default|t2i|-|-|any</t>
  </si>
  <si>
    <t xml:space="preserve">gemini-2-5-flash-image|default|t2i|-|-|any|нога1</t>
  </si>
  <si>
    <t xml:space="preserve">gemini-3-1-flash-image</t>
  </si>
  <si>
    <t xml:space="preserve">1K</t>
  </si>
  <si>
    <t xml:space="preserve">Сетка FX стр.32</t>
  </si>
  <si>
    <t xml:space="preserve">gemini-3-1-flash-image|1K|t2i|-|-|any</t>
  </si>
  <si>
    <t xml:space="preserve">gemini-3-1-flash-image|1K|t2i|-|-|any|нога1</t>
  </si>
  <si>
    <t xml:space="preserve">gemini-3-1-flash-image|1K|t2i|-|-|any|нога2</t>
  </si>
  <si>
    <t xml:space="preserve">gemini-3-1-flash-lite-image</t>
  </si>
  <si>
    <t xml:space="preserve">Сетка FX стр.33</t>
  </si>
  <si>
    <t xml:space="preserve">gemini-3-1-flash-lite-image|default|t2i|-|-|any</t>
  </si>
  <si>
    <t xml:space="preserve">gemini-3-1-flash-lite-image|default|t2i|-|-|any|нога1</t>
  </si>
  <si>
    <t xml:space="preserve">gemini-3-1-flash-lite-image|default|t2i|-|-|any|нога2</t>
  </si>
  <si>
    <t xml:space="preserve">gemini-3-pro-image</t>
  </si>
  <si>
    <t xml:space="preserve">Сетка FX стр.34</t>
  </si>
  <si>
    <t xml:space="preserve">gemini-3-pro-image|1K|t2i|-|-|any</t>
  </si>
  <si>
    <t xml:space="preserve">gemini-3-pro-image|1K|t2i|-|-|any|нога1</t>
  </si>
  <si>
    <t xml:space="preserve">Сетка FX стр.35</t>
  </si>
  <si>
    <t xml:space="preserve">gemini-3-pro-image|4K|t2i|-|-|any</t>
  </si>
  <si>
    <t xml:space="preserve">gemini-3-pro-image|4K|t2i|-|-|any|нога1</t>
  </si>
  <si>
    <t xml:space="preserve">gemini-3-pro-image|4K|t2i|-|-|any|нога2</t>
  </si>
  <si>
    <t xml:space="preserve">gpt-image-2</t>
  </si>
  <si>
    <t xml:space="preserve">low</t>
  </si>
  <si>
    <t xml:space="preserve">OpenAI</t>
  </si>
  <si>
    <t xml:space="preserve">Сетка FX стр.36</t>
  </si>
  <si>
    <t xml:space="preserve">gpt-image-2|default|t2i|-|low|any</t>
  </si>
  <si>
    <t xml:space="preserve">gpt-image-2|default|t2i|-|low|any|нога1</t>
  </si>
  <si>
    <t xml:space="preserve">medium</t>
  </si>
  <si>
    <t xml:space="preserve">Сетка FX стр.37</t>
  </si>
  <si>
    <t xml:space="preserve">gpt-image-2|default|t2i|-|medium|any</t>
  </si>
  <si>
    <t xml:space="preserve">gpt-image-2|default|t2i|-|medium|any|нога1</t>
  </si>
  <si>
    <t xml:space="preserve">high</t>
  </si>
  <si>
    <t xml:space="preserve">Сетка FX стр.38</t>
  </si>
  <si>
    <t xml:space="preserve">gpt-image-2|default|t2i|-|high|any</t>
  </si>
  <si>
    <t xml:space="preserve">gpt-image-2|default|t2i|-|high|any|нога1</t>
  </si>
  <si>
    <t xml:space="preserve">Сетка FX стр.39</t>
  </si>
  <si>
    <t xml:space="preserve">seedream-4-5|1K|t2i|-|-|any</t>
  </si>
  <si>
    <t xml:space="preserve">seedream-4-5|1K|t2i|-|-|any|нога1</t>
  </si>
  <si>
    <t xml:space="preserve">seedream-4-5|1K|t2i|-|-|any|нога2</t>
  </si>
  <si>
    <t xml:space="preserve">seedream-5-0-pro</t>
  </si>
  <si>
    <t xml:space="preserve">refs-0-1</t>
  </si>
  <si>
    <t xml:space="preserve">Сетка FX стр.40</t>
  </si>
  <si>
    <t xml:space="preserve">seedream-5-0-pro|1K|refs-0-1|-|-|any</t>
  </si>
  <si>
    <t xml:space="preserve">seedream-5-0-pro|1K|refs-0-1|-|-|any|нога1</t>
  </si>
  <si>
    <t xml:space="preserve">2K</t>
  </si>
  <si>
    <t xml:space="preserve">Сетка FX стр.41</t>
  </si>
  <si>
    <t xml:space="preserve">seedream-5-0-pro|2K|refs-0-1|-|-|any</t>
  </si>
  <si>
    <t xml:space="preserve">seedream-5-0-pro|2K|refs-0-1|-|-|any|нога1</t>
  </si>
  <si>
    <t xml:space="preserve">seedream-5-0-lite</t>
  </si>
  <si>
    <t xml:space="preserve">Сетка FX стр.42</t>
  </si>
  <si>
    <t xml:space="preserve">seedream-5-0-lite|2K|t2i|-|-|any</t>
  </si>
  <si>
    <t xml:space="preserve">seedream-5-0-lite|2K|t2i|-|-|any|нога1</t>
  </si>
  <si>
    <t xml:space="preserve">Black Forest Labs</t>
  </si>
  <si>
    <t xml:space="preserve">Сетка FX стр.43</t>
  </si>
  <si>
    <t xml:space="preserve">flux-2-pro|1K|t2i|-|-|any</t>
  </si>
  <si>
    <t xml:space="preserve">flux-2-pro|1K|t2i|-|-|any|нога1</t>
  </si>
  <si>
    <t xml:space="preserve">flux-2-pro|1K|t2i|-|-|any|нога2</t>
  </si>
  <si>
    <t xml:space="preserve">Recraft</t>
  </si>
  <si>
    <t xml:space="preserve">Сетка FX стр.44</t>
  </si>
  <si>
    <t xml:space="preserve">recraft-v4|default|t2i|-|-|any</t>
  </si>
  <si>
    <t xml:space="preserve">recraft-v4|default|t2i|-|-|any|нога1</t>
  </si>
  <si>
    <t xml:space="preserve">Сетка FX стр.45</t>
  </si>
  <si>
    <t xml:space="preserve">recraft-v4-vector|default|t2i|-|-|any</t>
  </si>
  <si>
    <t xml:space="preserve">recraft-v4-vector|default|t2i|-|-|any|нога1</t>
  </si>
  <si>
    <t xml:space="preserve">Сетка FX стр.46</t>
  </si>
  <si>
    <t xml:space="preserve">gemini-3-pro-image|2K|t2i|-|-|any</t>
  </si>
  <si>
    <t xml:space="preserve">gemini-3-pro-image|2K|t2i|-|-|any|нога1</t>
  </si>
  <si>
    <t xml:space="preserve">Сетка FX стр.47</t>
  </si>
  <si>
    <t xml:space="preserve">gemini-3-1-flash-image|2K|t2i|-|-|any</t>
  </si>
  <si>
    <t xml:space="preserve">gemini-3-1-flash-image|2K|t2i|-|-|any|нога1</t>
  </si>
  <si>
    <t xml:space="preserve">gemini-3-1-flash-image|2K|t2i|-|-|any|нога2</t>
  </si>
  <si>
    <t xml:space="preserve">Сетка FX стр.48</t>
  </si>
  <si>
    <t xml:space="preserve">gemini-3-1-flash-image|4K|t2i|-|-|any</t>
  </si>
  <si>
    <t xml:space="preserve">gemini-3-1-flash-image|4K|t2i|-|-|any|нога1</t>
  </si>
  <si>
    <t xml:space="preserve">gemini-3-1-flash-image|4K|t2i|-|-|any|нога2</t>
  </si>
  <si>
    <t xml:space="preserve">Сетка FX стр.49</t>
  </si>
  <si>
    <t xml:space="preserve">seedream-4-5|2K|t2i|-|-|any</t>
  </si>
  <si>
    <t xml:space="preserve">seedream-4-5|2K|t2i|-|-|any|нога1</t>
  </si>
  <si>
    <t xml:space="preserve">seedream-4-5|2K|t2i|-|-|any|нога2</t>
  </si>
  <si>
    <t xml:space="preserve">Сетка FX стр.50</t>
  </si>
  <si>
    <t xml:space="preserve">seedream-4-5|4K|t2i|-|-|any</t>
  </si>
  <si>
    <t xml:space="preserve">seedream-4-5|4K|t2i|-|-|any|нога1</t>
  </si>
  <si>
    <t xml:space="preserve">seedream-4-5|4K|t2i|-|-|any|нога2</t>
  </si>
  <si>
    <t xml:space="preserve">3K</t>
  </si>
  <si>
    <t xml:space="preserve">Сетка FX стр.51</t>
  </si>
  <si>
    <t xml:space="preserve">seedream-5-0-lite|3K|t2i|-|-|any</t>
  </si>
  <si>
    <t xml:space="preserve">seedream-5-0-lite|3K|t2i|-|-|any|нога1</t>
  </si>
  <si>
    <t xml:space="preserve">Сетка FX стр.52</t>
  </si>
  <si>
    <t xml:space="preserve">seedream-5-0-lite|4K|t2i|-|-|any</t>
  </si>
  <si>
    <t xml:space="preserve">seedream-5-0-lite|4K|t2i|-|-|any|нога1</t>
  </si>
  <si>
    <t xml:space="preserve">i2v</t>
  </si>
  <si>
    <t xml:space="preserve">Сетка FX стр.53</t>
  </si>
  <si>
    <t xml:space="preserve">happyhorse-1-1|720p|i2v|нет|-|any</t>
  </si>
  <si>
    <t xml:space="preserve">happyhorse-1-1|720p|i2v|нет|-|any|нога1</t>
  </si>
  <si>
    <t xml:space="preserve">happyhorse-1-1|720p|i2v|нет|-|any|нога2</t>
  </si>
  <si>
    <t xml:space="preserve">Сетка FX стр.54</t>
  </si>
  <si>
    <t xml:space="preserve">happyhorse-1-1|1080p|i2v|нет|-|any</t>
  </si>
  <si>
    <t xml:space="preserve">happyhorse-1-1|1080p|i2v|нет|-|any|нога1</t>
  </si>
  <si>
    <t xml:space="preserve">happyhorse-1-1|1080p|i2v|нет|-|any|нога2</t>
  </si>
  <si>
    <t xml:space="preserve">r2v</t>
  </si>
  <si>
    <t xml:space="preserve">Сетка FX стр.55</t>
  </si>
  <si>
    <t xml:space="preserve">happyhorse-1-1|720p|r2v|нет|-|any</t>
  </si>
  <si>
    <t xml:space="preserve">happyhorse-1-1|720p|r2v|нет|-|any|нога1</t>
  </si>
  <si>
    <t xml:space="preserve">happyhorse-1-1|720p|r2v|нет|-|any|нога2</t>
  </si>
  <si>
    <t xml:space="preserve">Сетка FX стр.56</t>
  </si>
  <si>
    <t xml:space="preserve">happyhorse-1-1|1080p|r2v|нет|-|any</t>
  </si>
  <si>
    <t xml:space="preserve">happyhorse-1-1|1080p|r2v|нет|-|any|нога1</t>
  </si>
  <si>
    <t xml:space="preserve">happyhorse-1-1|1080p|r2v|нет|-|any|нога2</t>
  </si>
  <si>
    <t xml:space="preserve">happyhorse-1-0</t>
  </si>
  <si>
    <t xml:space="preserve">video-edit</t>
  </si>
  <si>
    <t xml:space="preserve">Сетка FX стр.59</t>
  </si>
  <si>
    <t xml:space="preserve">happyhorse-1-0|720p|video-edit|нет|-|any</t>
  </si>
  <si>
    <t xml:space="preserve">happyhorse-1-0|720p|video-edit|нет|-|any|нога1</t>
  </si>
  <si>
    <t xml:space="preserve">Сетка FX стр.60</t>
  </si>
  <si>
    <t xml:space="preserve">happyhorse-1-0|1080p|video-edit|нет|-|any</t>
  </si>
  <si>
    <t xml:space="preserve">happyhorse-1-0|1080p|video-edit|нет|-|any|нога1</t>
  </si>
  <si>
    <t xml:space="preserve">refs-2-10</t>
  </si>
  <si>
    <t xml:space="preserve">Сетка FX стр.61</t>
  </si>
  <si>
    <t xml:space="preserve">за_каждый_сверх</t>
  </si>
  <si>
    <t xml:space="preserve">seedream-5-0-pro|1K|refs-2-10|-|-|any</t>
  </si>
  <si>
    <t xml:space="preserve">seedream-5-0-pro|1K|refs-2-10|-|-|any|нога1</t>
  </si>
  <si>
    <t xml:space="preserve">Сетка FX стр.62</t>
  </si>
  <si>
    <t xml:space="preserve">seedream-5-0-pro|2K|refs-2-10|-|-|any</t>
  </si>
  <si>
    <t xml:space="preserve">seedream-5-0-pro|2K|refs-2-10|-|-|any|нога1</t>
  </si>
  <si>
    <t xml:space="preserve">Сетка FX стр.63</t>
  </si>
  <si>
    <t xml:space="preserve">seedance-2-0|480p|r2v|нет|-|any</t>
  </si>
  <si>
    <t xml:space="preserve">seedance-2-0|480p|r2v|нет|-|any|нога1</t>
  </si>
  <si>
    <t xml:space="preserve">seedance-2-0|480p|r2v|нет|-|any|нога2</t>
  </si>
  <si>
    <t xml:space="preserve">Сетка FX стр.64</t>
  </si>
  <si>
    <t xml:space="preserve">seedance-2-0|720p|r2v|нет|-|any</t>
  </si>
  <si>
    <t xml:space="preserve">seedance-2-0|720p|r2v|нет|-|any|нога1</t>
  </si>
  <si>
    <t xml:space="preserve">seedance-2-0|720p|r2v|нет|-|any|нога2</t>
  </si>
  <si>
    <t xml:space="preserve">Сетка FX стр.65</t>
  </si>
  <si>
    <t xml:space="preserve">seedance-2-0|1080p|r2v|нет|-|any</t>
  </si>
  <si>
    <t xml:space="preserve">seedance-2-0|1080p|r2v|нет|-|any|нога1</t>
  </si>
  <si>
    <t xml:space="preserve">seedance-2-0|1080p|r2v|нет|-|any|нога2</t>
  </si>
  <si>
    <t xml:space="preserve">Сетка FX стр.66</t>
  </si>
  <si>
    <t xml:space="preserve">seedance-2-0|4K|r2v|нет|-|any</t>
  </si>
  <si>
    <t xml:space="preserve">seedance-2-0|4K|r2v|нет|-|any|нога1</t>
  </si>
  <si>
    <t xml:space="preserve">Сетка FX стр.67</t>
  </si>
  <si>
    <t xml:space="preserve">seedance-2-0-fast|480p|r2v|нет|-|any</t>
  </si>
  <si>
    <t xml:space="preserve">seedance-2-0-fast|480p|r2v|нет|-|any|нога1</t>
  </si>
  <si>
    <t xml:space="preserve">seedance-2-0-fast|480p|r2v|нет|-|any|нога2</t>
  </si>
  <si>
    <t xml:space="preserve">Сетка FX стр.68</t>
  </si>
  <si>
    <t xml:space="preserve">seedance-2-0-fast|720p|r2v|нет|-|any</t>
  </si>
  <si>
    <t xml:space="preserve">seedance-2-0-fast|720p|r2v|нет|-|any|нога1</t>
  </si>
  <si>
    <t xml:space="preserve">seedance-2-0-fast|720p|r2v|нет|-|any|нога2</t>
  </si>
  <si>
    <t xml:space="preserve">Сетка FX стр.69</t>
  </si>
  <si>
    <t xml:space="preserve">kling-v3-0-std|720p|t2v|нет|-|any</t>
  </si>
  <si>
    <t xml:space="preserve">kling-v3-0-std|720p|t2v|нет|-|any|нога1</t>
  </si>
  <si>
    <t xml:space="preserve">Сетка FX стр.72</t>
  </si>
  <si>
    <t xml:space="preserve">veo-3-1|4K|t2v|да|-|any</t>
  </si>
  <si>
    <t xml:space="preserve">veo-3-1|4K|t2v|да|-|any|нога1</t>
  </si>
  <si>
    <t xml:space="preserve">Сетка FX стр.73</t>
  </si>
  <si>
    <t xml:space="preserve">veo-3-1-fast|4K|t2v|да|-|any</t>
  </si>
  <si>
    <t xml:space="preserve">veo-3-1-fast|4K|t2v|да|-|any|нога1</t>
  </si>
  <si>
    <t xml:space="preserve">Сетка FX стр.74</t>
  </si>
  <si>
    <t xml:space="preserve">veo-3-1-lite|4K|t2v|да|-|any</t>
  </si>
  <si>
    <t xml:space="preserve">veo-3-1-lite|4K|t2v|да|-|any|нога1</t>
  </si>
  <si>
    <t xml:space="preserve">Сетка FX стр.76</t>
  </si>
  <si>
    <t xml:space="preserve">kling-v3-0-std|720p|i2v|да|-|any</t>
  </si>
  <si>
    <t xml:space="preserve">kling-v3-0-std|720p|i2v|да|-|any|нога1</t>
  </si>
  <si>
    <t xml:space="preserve">Сетка FX стр.77</t>
  </si>
  <si>
    <t xml:space="preserve">wan-2-7|720p|i2v|нет|-|any</t>
  </si>
  <si>
    <t xml:space="preserve">wan-2-7|720p|i2v|нет|-|any|нога1</t>
  </si>
  <si>
    <t xml:space="preserve">wan-2-7|720p|i2v|нет|-|any|нога2</t>
  </si>
  <si>
    <t xml:space="preserve">Сетка FX стр.78</t>
  </si>
  <si>
    <t xml:space="preserve">wan-2-7|1080p|i2v|нет|-|any</t>
  </si>
  <si>
    <t xml:space="preserve">wan-2-7|1080p|i2v|нет|-|any|нога1</t>
  </si>
  <si>
    <t xml:space="preserve">wan-2-7|1080p|i2v|нет|-|any|нога2</t>
  </si>
  <si>
    <t xml:space="preserve">refs-2-8</t>
  </si>
  <si>
    <t xml:space="preserve">Сетка FX стр.79</t>
  </si>
  <si>
    <t xml:space="preserve">flux-2-pro|1K|refs-2-8|-|-|any</t>
  </si>
  <si>
    <t xml:space="preserve">flux-2-pro|1K|refs-2-8|-|-|any|нога1</t>
  </si>
  <si>
    <t xml:space="preserve">flux-2-pro|1K|refs-2-8|-|-|any|нога2</t>
  </si>
  <si>
    <t xml:space="preserve">Сетка FX стр.80</t>
  </si>
  <si>
    <t xml:space="preserve">veo-3-1|720p|i2v|да|-|any</t>
  </si>
  <si>
    <t xml:space="preserve">veo-3-1|720p|i2v|да|-|any|нога1</t>
  </si>
  <si>
    <t xml:space="preserve">Сетка FX стр.81</t>
  </si>
  <si>
    <t xml:space="preserve">veo-3-1|1080p|i2v|да|-|any</t>
  </si>
  <si>
    <t xml:space="preserve">veo-3-1|1080p|i2v|да|-|any|нога1</t>
  </si>
  <si>
    <t xml:space="preserve">Сетка FX стр.82</t>
  </si>
  <si>
    <t xml:space="preserve">veo-3-1-fast|720p|i2v|да|-|any</t>
  </si>
  <si>
    <t xml:space="preserve">veo-3-1-fast|720p|i2v|да|-|any|нога1</t>
  </si>
  <si>
    <t xml:space="preserve">Сетка FX стр.83</t>
  </si>
  <si>
    <t xml:space="preserve">veo-3-1-fast|1080p|i2v|да|-|any</t>
  </si>
  <si>
    <t xml:space="preserve">veo-3-1-fast|1080p|i2v|да|-|any|нога1</t>
  </si>
  <si>
    <t xml:space="preserve">Сетка FX стр.84</t>
  </si>
  <si>
    <t xml:space="preserve">veo-3-1-lite|720p|i2v|да|-|any</t>
  </si>
  <si>
    <t xml:space="preserve">veo-3-1-lite|720p|i2v|да|-|any|нога1</t>
  </si>
  <si>
    <t xml:space="preserve">Сетка FX стр.85</t>
  </si>
  <si>
    <t xml:space="preserve">veo-3-1-lite|1080p|i2v|да|-|any</t>
  </si>
  <si>
    <t xml:space="preserve">veo-3-1-lite|1080p|i2v|да|-|any|нога1</t>
  </si>
  <si>
    <t xml:space="preserve">i2i</t>
  </si>
  <si>
    <t xml:space="preserve">Сетка FX стр.86</t>
  </si>
  <si>
    <t xml:space="preserve">seedream-4-5|1K|i2i|-|-|any</t>
  </si>
  <si>
    <t xml:space="preserve">seedream-4-5|1K|i2i|-|-|any|нога1</t>
  </si>
  <si>
    <t xml:space="preserve">seedream-4-5|1K|i2i|-|-|any|нога2</t>
  </si>
  <si>
    <t xml:space="preserve">Сетка FX стр.87</t>
  </si>
  <si>
    <t xml:space="preserve">seedream-4-5|2K|i2i|-|-|any</t>
  </si>
  <si>
    <t xml:space="preserve">seedream-4-5|2K|i2i|-|-|any|нога1</t>
  </si>
  <si>
    <t xml:space="preserve">seedream-4-5|2K|i2i|-|-|any|нога2</t>
  </si>
  <si>
    <t xml:space="preserve">Сетка FX стр.88</t>
  </si>
  <si>
    <t xml:space="preserve">seedream-4-5|4K|i2i|-|-|any</t>
  </si>
  <si>
    <t xml:space="preserve">seedream-4-5|4K|i2i|-|-|any|нога1</t>
  </si>
  <si>
    <t xml:space="preserve">seedream-4-5|4K|i2i|-|-|any|нога2</t>
  </si>
  <si>
    <t xml:space="preserve">Сетка FX стр.89</t>
  </si>
  <si>
    <t xml:space="preserve">gpt-image-2|default|i2i|-|low|any</t>
  </si>
  <si>
    <t xml:space="preserve">gpt-image-2|default|i2i|-|low|any|нога1</t>
  </si>
  <si>
    <t xml:space="preserve">Сетка FX стр.90</t>
  </si>
  <si>
    <t xml:space="preserve">gpt-image-2|default|i2i|-|medium|any</t>
  </si>
  <si>
    <t xml:space="preserve">gpt-image-2|default|i2i|-|medium|any|нога1</t>
  </si>
  <si>
    <t xml:space="preserve">Сетка FX стр.91</t>
  </si>
  <si>
    <t xml:space="preserve">gpt-image-2|default|i2i|-|high|any</t>
  </si>
  <si>
    <t xml:space="preserve">gpt-image-2|default|i2i|-|high|any|нога1</t>
  </si>
  <si>
    <t xml:space="preserve">Сетка FX стр.92</t>
  </si>
  <si>
    <t xml:space="preserve">gemini-2-5-flash-image|default|i2i|-|-|any</t>
  </si>
  <si>
    <t xml:space="preserve">gemini-2-5-flash-image|default|i2i|-|-|any|нога1</t>
  </si>
  <si>
    <t xml:space="preserve">Сетка FX стр.93</t>
  </si>
  <si>
    <t xml:space="preserve">gemini-3-1-flash-image|1K|i2i|-|-|any</t>
  </si>
  <si>
    <t xml:space="preserve">gemini-3-1-flash-image|1K|i2i|-|-|any|нога1</t>
  </si>
  <si>
    <t xml:space="preserve">gemini-3-1-flash-image|1K|i2i|-|-|any|нога2</t>
  </si>
  <si>
    <t xml:space="preserve">Сетка FX стр.94</t>
  </si>
  <si>
    <t xml:space="preserve">gemini-3-1-flash-lite-image|default|i2i|-|-|any</t>
  </si>
  <si>
    <t xml:space="preserve">gemini-3-1-flash-lite-image|default|i2i|-|-|any|нога1</t>
  </si>
  <si>
    <t xml:space="preserve">gemini-3-1-flash-lite-image|default|i2i|-|-|any|нога2</t>
  </si>
  <si>
    <t xml:space="preserve">Сетка FX стр.95</t>
  </si>
  <si>
    <t xml:space="preserve">gemini-3-pro-image|1K|i2i|-|-|any</t>
  </si>
  <si>
    <t xml:space="preserve">gemini-3-pro-image|1K|i2i|-|-|any|нога1</t>
  </si>
  <si>
    <t xml:space="preserve">Сетка FX стр.96</t>
  </si>
  <si>
    <t xml:space="preserve">seedance-2-0|480p|i2v|нет|-|any</t>
  </si>
  <si>
    <t xml:space="preserve">seedance-2-0|480p|i2v|нет|-|any|нога1</t>
  </si>
  <si>
    <t xml:space="preserve">seedance-2-0|480p|i2v|нет|-|any|нога2</t>
  </si>
  <si>
    <t xml:space="preserve">Сетка FX стр.97</t>
  </si>
  <si>
    <t xml:space="preserve">seedance-2-0|720p|i2v|нет|-|any</t>
  </si>
  <si>
    <t xml:space="preserve">seedance-2-0|720p|i2v|нет|-|any|нога1</t>
  </si>
  <si>
    <t xml:space="preserve">seedance-2-0|720p|i2v|нет|-|any|нога2</t>
  </si>
  <si>
    <t xml:space="preserve">Сетка FX стр.98</t>
  </si>
  <si>
    <t xml:space="preserve">seedance-2-0|1080p|i2v|нет|-|any</t>
  </si>
  <si>
    <t xml:space="preserve">seedance-2-0|1080p|i2v|нет|-|any|нога1</t>
  </si>
  <si>
    <t xml:space="preserve">seedance-2-0|1080p|i2v|нет|-|any|нога2</t>
  </si>
  <si>
    <t xml:space="preserve">Сетка FX стр.99</t>
  </si>
  <si>
    <t xml:space="preserve">seedance-2-0-fast|480p|i2v|нет|-|any</t>
  </si>
  <si>
    <t xml:space="preserve">seedance-2-0-fast|480p|i2v|нет|-|any|нога1</t>
  </si>
  <si>
    <t xml:space="preserve">seedance-2-0-fast|480p|i2v|нет|-|any|нога2</t>
  </si>
  <si>
    <t xml:space="preserve">Сетка FX стр.100</t>
  </si>
  <si>
    <t xml:space="preserve">seedance-2-0-fast|720p|i2v|нет|-|any</t>
  </si>
  <si>
    <t xml:space="preserve">seedance-2-0-fast|720p|i2v|нет|-|any|нога1</t>
  </si>
  <si>
    <t xml:space="preserve">seedance-2-0-fast|720p|i2v|нет|-|any|нога2</t>
  </si>
  <si>
    <t xml:space="preserve">Сетка FX стр.101</t>
  </si>
  <si>
    <t xml:space="preserve">kling-v3-0-std|720p|i2v|нет|-|any</t>
  </si>
  <si>
    <t xml:space="preserve">kling-v3-0-std|720p|i2v|нет|-|any|нога1</t>
  </si>
  <si>
    <t xml:space="preserve">Сетка FX стр.102</t>
  </si>
  <si>
    <t xml:space="preserve">grok-imagine-video|720p|i2v|нет|-|any</t>
  </si>
  <si>
    <t xml:space="preserve">grok-imagine-video|720p|i2v|нет|-|any|нога1</t>
  </si>
  <si>
    <t xml:space="preserve">Сетка FX стр.103</t>
  </si>
  <si>
    <t xml:space="preserve">grok-imagine-video|480p|i2v|нет|-|any</t>
  </si>
  <si>
    <t xml:space="preserve">grok-imagine-video|480p|i2v|нет|-|any|нога1</t>
  </si>
  <si>
    <t xml:space="preserve">Сетка FX стр.104</t>
  </si>
  <si>
    <t xml:space="preserve">flux-2-pro|2K|t2i|-|-|any</t>
  </si>
  <si>
    <t xml:space="preserve">flux-2-pro|2K|t2i|-|-|any|нога1</t>
  </si>
  <si>
    <t xml:space="preserve">Сетка FX стр.105</t>
  </si>
  <si>
    <t xml:space="preserve">flux-2-pro|2K|i2i|-|-|any</t>
  </si>
  <si>
    <t xml:space="preserve">flux-2-pro|2K|i2i|-|-|any|нога1</t>
  </si>
  <si>
    <t xml:space="preserve">Сетка FX стр.106</t>
  </si>
  <si>
    <t xml:space="preserve">flux-2-pro|2K|refs-2-8|-|-|any</t>
  </si>
  <si>
    <t xml:space="preserve">flux-2-pro|2K|refs-2-8|-|-|any|нога1</t>
  </si>
  <si>
    <t xml:space="preserve">СООТНОШЕНИЕ СТОРОН — ценовое измерение, введено 03.08.2026</t>
  </si>
  <si>
    <t xml:space="preserve">Поставщик тарифицирует по РЕАЛЬНЫМ ПИКСЕЛЯМ, а не по названию рунга: токены = (высота × ширина × секунды × 24) / 1024 по $0,000007. Формула воспроизводит нашу ставку Seedance 1080p до четвёртого знака ($0,3402 против $0,34), поэтому принята как верная. Следствие: «1080p» в 21:9 стоит нам в 1,31 раза дороже, чем в 16:9, а в 9:16 — в 3,16 раза дешевле. Цена при этом одна.</t>
  </si>
  <si>
    <t xml:space="preserve">Соотношение</t>
  </si>
  <si>
    <t xml:space="preserve">Кадр при рунге 1080p</t>
  </si>
  <si>
    <t xml:space="preserve">Пикселей</t>
  </si>
  <si>
    <t xml:space="preserve">Множитель к 16:9</t>
  </si>
  <si>
    <t xml:space="preserve">Себест 5 с, ₽</t>
  </si>
  <si>
    <t xml:space="preserve">Маржа при 727 кред</t>
  </si>
  <si>
    <t xml:space="preserve">НАДБАВКА К ЦЕНЕ</t>
  </si>
  <si>
    <t xml:space="preserve">Цена 1080p</t>
  </si>
  <si>
    <t xml:space="preserve">21:9</t>
  </si>
  <si>
    <t xml:space="preserve">2520x1080</t>
  </si>
  <si>
    <t xml:space="preserve">16:9</t>
  </si>
  <si>
    <t xml:space="preserve">1920x1080</t>
  </si>
  <si>
    <t xml:space="preserve">4:3</t>
  </si>
  <si>
    <t xml:space="preserve">1440x1080</t>
  </si>
  <si>
    <t xml:space="preserve">3:4</t>
  </si>
  <si>
    <t xml:space="preserve">1080x1440</t>
  </si>
  <si>
    <t xml:space="preserve">1:1</t>
  </si>
  <si>
    <t xml:space="preserve">1080x1080</t>
  </si>
  <si>
    <t xml:space="preserve">9:16</t>
  </si>
  <si>
    <t xml:space="preserve">608x1080</t>
  </si>
  <si>
    <t xml:space="preserve">РЕШЕНИЕ: надбавка только вверх</t>
  </si>
  <si>
    <t xml:space="preserve">Соотношения ШИРЕ 16:9 получают надбавку 1,35 к цене рунга. Всё остальное продаётся по базовой цене.</t>
  </si>
  <si>
    <t xml:space="preserve">Почему не зеркально. Симметричный множитель по себестоимости математически честнее, но означает снижение цены вертикального формата в три раза — а 9:16 это доминирующий формат нашей аудитории и там мы сегодня зарабатываем 76%. Отдавать это по своей воле не за что: мы не обязаны продавать по себестоимости, мы обязаны не продавать ниже себестоимости.</t>
  </si>
  <si>
    <t xml:space="preserve">Надбавка 1,35 при множителе себестоимости 1,3125 оставляет 21:9 маржу 27% — на уровне базовой строки.</t>
  </si>
  <si>
    <t xml:space="preserve">Что это меняет в объяснении клиенту: широкий кадр дороже. Это понятно и проверяемо, в отличие от «одна цена, разная себестоимость».</t>
  </si>
  <si>
    <t xml:space="preserve">ЧТО ЭТО ЗНАЧИТ ДЛЯ ФИНМОДЕЛИ — не применено, вынесено в чувствительность</t>
  </si>
  <si>
    <t xml:space="preserve">Если 60% потребления вертикальное, средняя себестоимость клипа 106,6 ₽ вместо 180,6 — то есть себестоимость кредита НИЖЕ заложенной на 41%.</t>
  </si>
  <si>
    <t xml:space="preserve">В базовый сценарий это не заводится: доля вертикального формата не измерена. Учитывать выгоду по неизмеренному допущению — та же ошибка, что и не учитывать риск.</t>
  </si>
  <si>
    <t xml:space="preserve">Как только появится реальная статистика по соотношениям, это первый кандидат на пересчёт себестоимости кредита — и он идёт в нашу пользу.</t>
  </si>
  <si>
    <t xml:space="preserve">ЛЕСТНИЦА НОГ — предпросмотр по новому правилу. НЕ ПРИМЕНЕНО.</t>
  </si>
  <si>
    <t xml:space="preserve">НОВОЕ ПРАВИЛО (принято 03.08.2026): цену задаёт САМАЯ ДЕШЁВАЯ нога рунга при целевой марже. Каждая следующая нога входит в лестницу, если держит 0%, и выпадает, если нет. Дорогой поставщик больше не тянет цену вверх для всех — он просто уходит из лестницы. ОГРАНИЧЕНИЕ: если после исключения остаётся ОДНА нога, правило не применяется — держим прежнюю цену до появления второго источника. НИЖЕ НЕ ПРИМЕНЕНО: Pixazo и SeeGen не проверены платными вызовами и платёжный канал не подтверждён.</t>
  </si>
  <si>
    <t xml:space="preserve">ПРАВИЛО R-11 — что делать, когда переключение уходит в минус</t>
  </si>
  <si>
    <t xml:space="preserve">Лидер</t>
  </si>
  <si>
    <t xml:space="preserve">Себест лидера, ₽</t>
  </si>
  <si>
    <t xml:space="preserve">ЦЕНА по правилу</t>
  </si>
  <si>
    <t xml:space="preserve">Цена сейчас</t>
  </si>
  <si>
    <t xml:space="preserve">Изм.</t>
  </si>
  <si>
    <t xml:space="preserve">Лестница (нога · маржа)</t>
  </si>
  <si>
    <t xml:space="preserve">Выпадает</t>
  </si>
  <si>
    <t xml:space="preserve">Статус</t>
  </si>
  <si>
    <t xml:space="preserve">Резервные ноги посчитаны по безубыточности при курсе 85. Это значит, что при любом росте курса они уходят в минус — по построению, а не по недосмотру.</t>
  </si>
  <si>
    <t xml:space="preserve">Pixazo</t>
  </si>
  <si>
    <t xml:space="preserve">-2%</t>
  </si>
  <si>
    <t xml:space="preserve">Pixazo 25,1% · OpenRouter 24,3% · SeeGen 9,0%</t>
  </si>
  <si>
    <t xml:space="preserve">kie −1,7%</t>
  </si>
  <si>
    <t xml:space="preserve">ждём платную проверку и платёжный канал</t>
  </si>
  <si>
    <t xml:space="preserve">РЕШЕНИЕ: переключение НЕ запрещается. Отказ переключиться превращает аварию поставщика в нашу аварию, а это дороже. Убыток поглощается в пределах лимита: 5 000 ₽ в сутки, 30 000 ₽ в скользящий месяц накопленного отрицательного результата по всему каталогу. Лимит исчерпан — строки уходят офлайн до возврата основного поставщика.</t>
  </si>
  <si>
    <t xml:space="preserve">-5%</t>
  </si>
  <si>
    <t xml:space="preserve">Pixazo 25,2% · OpenRouter 21,1% · SeeGen 20,8%</t>
  </si>
  <si>
    <t xml:space="preserve">kie −1,5%</t>
  </si>
  <si>
    <t xml:space="preserve">ИСКЛЮЧЕНИЕ: Seedance 4K не переключается никогда. Убыток 84,8 ₽ на генерацию при курсе 95 — в десять раз больше следующей худшей строки. При недоступности основного поставщика 4K не отдаётся вовсе, клиенту предлагается 1080p.</t>
  </si>
  <si>
    <t xml:space="preserve">-6%</t>
  </si>
  <si>
    <t xml:space="preserve">OpenRouter 25,0% · Pixazo 21,8% · SeeGen 16,4%</t>
  </si>
  <si>
    <t xml:space="preserve">kie −6,6%</t>
  </si>
  <si>
    <t xml:space="preserve">ОБОСНОВАНИЕ ЛИМИТА: один ушедший клиент стоит 22 575 ₽ вклада, что равно 49 часам простоя одной модели. Страховка окупается, если предотвращает одного ушедшего на каждые двое суток простоя.</t>
  </si>
  <si>
    <t xml:space="preserve">SeeGen</t>
  </si>
  <si>
    <t xml:space="preserve">-26%</t>
  </si>
  <si>
    <t xml:space="preserve">SeeGen 25,0% · kie 2,5%</t>
  </si>
  <si>
    <t xml:space="preserve">OpenRouter −34,6%</t>
  </si>
  <si>
    <t xml:space="preserve">Лимит считается счётчиком в коде: каждое переключение прибавляет (себестоимость − выручка) к сумме; сумма перевалила порог — маршрут перестаёт отвечать.</t>
  </si>
  <si>
    <t xml:space="preserve">ПРИМЕНЕНО СЕГОДНЯ (kie проверен платно): Kling переведён на kie — 720p со звуком 270→203, без звука 180→136, добавлены 1080p 284 и 4K 446. Veo 4K заведён: Quality 750, Fast 365, Lite 304.</t>
  </si>
  <si>
    <t xml:space="preserve">ПРАВИЛО ЦЕНЫ — ПОДТВЕРЖДЕНО 11.08.2026</t>
  </si>
  <si>
    <t xml:space="preserve">РЕШЕНИЕ ВЛАДЕЛЬЦА 11.08.2026 — НАДБАВКА ЗА РЕЗЕРВ ОСТАЁТСЯ. Правило цены остаётся из четырёх членов: MAX(потолок +28% vs Syntx; цена по марже 25%; БЕЗУБЫТОК РЕЗЕРВА; ступень качества +15%). Вопрос ставился и закрыт: четвёртый член перебивает цену на 8 строках из 91, и на этих строках клиент оплачивает вторую ногу. Владелец рассмотрел цену решения и принял её.
ЧЕГО ЭТО СТОИТ, ЧТОБЫ НИКТО НЕ ПЕРЕСЧИТЫВАЛ ЗАНОВО: на Seedance 1080p 775 вместо 727 — это −7,0% против Syntx вместо −0,9%, то есть страховка стоит 6 п.п. конкурентоспособности. На Gemini Omni 273 вместо 257 — −34,2% вместо −30,1%. На остальных строках надбавка стоит 1-2 кредита и на сравнение с конкурентом не влияет.
ЧТО ЭТО ПОКУПАЕТ: переключение на резерв бесплатно для нас в момент отказа — резерв на этих строках выходит ровно в ноль, а не в минус, поэтому R-1 выполняется без исключений и бюджет отказов по R-11 не расходуется.
ИЗВЕСТНОЕ ПОБОЧНОЕ СЛЕДСТВИЕ: при этом правиле добавление ЛЮБОЙ новой ноги может цену только поднять, никогда не опустить. Третья нога, под которую 11.08 открыт формат, работает против клиента до тех пор, пока это правило действует. Пересматривать при подключении первого третьего вендора.</t>
  </si>
  <si>
    <t xml:space="preserve">ЖУРНАЛ ИЗМЕНЕНИЙ ЦЕН — каждое изменение с датой, причиной и полномочием</t>
  </si>
  <si>
    <t xml:space="preserve">Правило с 03.08.2026: ни одна цена не меняется без строки в этом журнале, включая снижения. Изменение, пришедшее как побочный эффект правки данных, — такое же изменение цены, как и намеренное. Каждая строка подписывается построчно принимающей стороной перед применением.</t>
  </si>
  <si>
    <t xml:space="preserve">Дата</t>
  </si>
  <si>
    <t xml:space="preserve">Позиция</t>
  </si>
  <si>
    <t xml:space="preserve">Было</t>
  </si>
  <si>
    <t xml:space="preserve">Стало</t>
  </si>
  <si>
    <t xml:space="preserve">Δ</t>
  </si>
  <si>
    <t xml:space="preserve">Причина</t>
  </si>
  <si>
    <t xml:space="preserve">Полномочие</t>
  </si>
  <si>
    <t xml:space="preserve">Тип</t>
  </si>
  <si>
    <t xml:space="preserve">Подпись</t>
  </si>
  <si>
    <t xml:space="preserve">2026-08-03</t>
  </si>
  <si>
    <t xml:space="preserve">-74%</t>
  </si>
  <si>
    <t xml:space="preserve">Бенчмарк Syntx для 480p был скопирован с 1080p. Проверенное значение 20,375 токена вместо 112,25 опускает потолок.</t>
  </si>
  <si>
    <t xml:space="preserve">Ответ #2, Ask 3</t>
  </si>
  <si>
    <t xml:space="preserve">исправление ошибки</t>
  </si>
  <si>
    <t xml:space="preserve">-43%</t>
  </si>
  <si>
    <t xml:space="preserve">То же: проверенный бенчмарк 45,375 вместо 112,25.</t>
  </si>
  <si>
    <t xml:space="preserve">-36%</t>
  </si>
  <si>
    <t xml:space="preserve">То же: проверенный бенчмарк 16,375 вместо 36,25.</t>
  </si>
  <si>
    <t xml:space="preserve">-35%</t>
  </si>
  <si>
    <t xml:space="preserve">То же: проверенный бенчмарк 30 вместо 50.</t>
  </si>
  <si>
    <t xml:space="preserve">-3%</t>
  </si>
  <si>
    <t xml:space="preserve">То же: проверенный бенчмарк 40 вместо 50.</t>
  </si>
  <si>
    <t xml:space="preserve">-37%</t>
  </si>
  <si>
    <t xml:space="preserve">То же: проверенный бенчмарк 5 вместо 8.</t>
  </si>
  <si>
    <t xml:space="preserve">То же: проверенный бенчмарк 25 вместо 45.</t>
  </si>
  <si>
    <t xml:space="preserve">seedream-5.0 Pro 2K</t>
  </si>
  <si>
    <t xml:space="preserve">+7%</t>
  </si>
  <si>
    <t xml:space="preserve">ПОВЫШЕНИЕ. Проверенный бенчмарк 6 токенов вместо 3. При 29 кредитах мы щедрее Syntx на 32,8%, выше собственного потолка 28%. ОТМЕНЯЕТ решение R-5, где стояло 29 — тот текст написан до исправления бенчмарка.</t>
  </si>
  <si>
    <t xml:space="preserve">Ответ #4 + поправка R-5</t>
  </si>
  <si>
    <t xml:space="preserve">ПОВЫШЕНИЕ ЦЕНЫ</t>
  </si>
  <si>
    <t xml:space="preserve">AtlasCloud подорожал 0,112 -&gt; 0,125-0,135, резерв ушёл в минус 11-20%. Резерв снят, ограничение безубыточности перестало связывать.</t>
  </si>
  <si>
    <t xml:space="preserve">Ответ #4, §3.2</t>
  </si>
  <si>
    <t xml:space="preserve">следствие снятия резерва</t>
  </si>
  <si>
    <t xml:space="preserve">-15%</t>
  </si>
  <si>
    <t xml:space="preserve">Основной поставщик переключён с OpenRouter $0,03 на kie $0,025.</t>
  </si>
  <si>
    <t xml:space="preserve">Ответ #2, Ask 1</t>
  </si>
  <si>
    <t xml:space="preserve">смена поставщика</t>
  </si>
  <si>
    <t xml:space="preserve">Резерв оказался дешевле основного: kie $0,04 по опубликованной лестнице против LaoZhang $0,055. Ноги поменяны местами.</t>
  </si>
  <si>
    <t xml:space="preserve">Ответ #5, п.2</t>
  </si>
  <si>
    <t xml:space="preserve">Каскад по лестнице качества +15% от изменившейся цены 1K.</t>
  </si>
  <si>
    <t xml:space="preserve">каскад</t>
  </si>
  <si>
    <t xml:space="preserve">-12%</t>
  </si>
  <si>
    <t xml:space="preserve">Каскад по лестнице качества +15% от изменившейся цены 2K.</t>
  </si>
  <si>
    <t xml:space="preserve">-18%</t>
  </si>
  <si>
    <t xml:space="preserve">Резерв дешевле основного: kie $0,02 против LaoZhang $0,025. Ноги поменяны местами.</t>
  </si>
  <si>
    <t xml:space="preserve">HappyHorse 1.0 720p</t>
  </si>
  <si>
    <t xml:space="preserve">-25%</t>
  </si>
  <si>
    <t xml:space="preserve">Переведён на OpenRouter $0,0988 вместо kie $0,14 — на 26% дешевле. Затем строка снята целиком.</t>
  </si>
  <si>
    <t xml:space="preserve">Ответ #3, Q8</t>
  </si>
  <si>
    <t xml:space="preserve">снято с продажи</t>
  </si>
  <si>
    <t xml:space="preserve">HappyHorse 1.0 1080p</t>
  </si>
  <si>
    <t xml:space="preserve">снято</t>
  </si>
  <si>
    <t xml:space="preserve">Снято с продажи: версия 1.0 дороже 1.1 при том же результате.</t>
  </si>
  <si>
    <t xml:space="preserve">+42%</t>
  </si>
  <si>
    <t xml:space="preserve">kie поднял ставку с $0,008 до $0,012 за секунду, +50%. Плюс применён порог 40% по новому правилу R-10: посредник на 76% ниже прайс-листа xAI и второй ноги нет. При пороге 25% цена была бы 30.</t>
  </si>
  <si>
    <t xml:space="preserve">kie pricing card 03.08.2026 + правило R-10</t>
  </si>
  <si>
    <t xml:space="preserve">+68%</t>
  </si>
  <si>
    <t xml:space="preserve">kie поднял ставку с $0,015 до $0,0225 за секунду, +50%. При старой цене 41 маржа минус 0,1% — продавали бы ниже себестоимости. Порог 40% по R-10. При пороге 25% цена была бы 55.</t>
  </si>
  <si>
    <t xml:space="preserve">2183</t>
  </si>
  <si>
    <t xml:space="preserve">Seedance 2.0 r2v 480p/720p/1080p/4K</t>
  </si>
  <si>
    <t xml:space="preserve">232/507/1257/2595</t>
  </si>
  <si>
    <t xml:space="preserve">Seedance Fast r2v 480p/720p</t>
  </si>
  <si>
    <t xml:space="preserve">183/406</t>
  </si>
  <si>
    <t xml:space="preserve">HappyHorse 1.1 i2v 720p/1080p</t>
  </si>
  <si>
    <t xml:space="preserve">229/294</t>
  </si>
  <si>
    <t xml:space="preserve">HappyHorse 1.1 r2v 720p/1080p</t>
  </si>
  <si>
    <t xml:space="preserve">HappyHorse 1.0 video-edit 720p/1080p</t>
  </si>
  <si>
    <t xml:space="preserve">284/487</t>
  </si>
  <si>
    <t xml:space="preserve">gpt-image-2 2K/4K</t>
  </si>
  <si>
    <t xml:space="preserve">21/33</t>
  </si>
  <si>
    <t xml:space="preserve">Seedream 5.0 Pro референсы 1K/2K</t>
  </si>
  <si>
    <t xml:space="preserve">24/38</t>
  </si>
  <si>
    <t xml:space="preserve">nano-banana-pro 2K, seedream-4.5 2K/4K, seedream-5.0 Lite 3K/4K</t>
  </si>
  <si>
    <t xml:space="preserve">лестницы качества</t>
  </si>
  <si>
    <t xml:space="preserve">-33%</t>
  </si>
  <si>
    <t xml:space="preserve">Единая цена за клип любой длительности. Вендор берёт фикс за клип, значит удвоение ставки под худший случай 4 секунды больше не нужно — оговорка про порог 15% снята. Цена встала на потолок щедрости +28% относительно Syntx (бенчмарк подтверждён владельцем 03.08). Выбор длительности клиенту сохраняется — у Syntx его нет.</t>
  </si>
  <si>
    <t xml:space="preserve">решение владельца 03.08.2026</t>
  </si>
  <si>
    <t xml:space="preserve">СНИЖЕНИЕ + смена базы</t>
  </si>
  <si>
    <t xml:space="preserve">-39%</t>
  </si>
  <si>
    <t xml:space="preserve">-44%</t>
  </si>
  <si>
    <t xml:space="preserve">Kling v3 4K (звук)</t>
  </si>
  <si>
    <t xml:space="preserve">+52%</t>
  </si>
  <si>
    <t xml:space="preserve">ИСПРАВЛЕНИЕ ОШИБКИ ФИНАНСОВ. Ставка была выведена по образцу младших рунгов ($0,22) вместо чтения карточки kie ($0,335). При 446 кредитах строка давала −14,1%, то есть продавалась ниже себестоимости.</t>
  </si>
  <si>
    <t xml:space="preserve">карточка kie + аудит разработки</t>
  </si>
  <si>
    <t xml:space="preserve">ИСПРАВЛЕНИЕ</t>
  </si>
  <si>
    <t xml:space="preserve">+4%</t>
  </si>
  <si>
    <t xml:space="preserve">Ставка уточнена по карточке: $0,07 вместо принятых $0,067.</t>
  </si>
  <si>
    <t xml:space="preserve">Kling v3 1080p (звук)</t>
  </si>
  <si>
    <t xml:space="preserve">-4%</t>
  </si>
  <si>
    <t xml:space="preserve">Ставка уточнена по карточке: $0,135 вместо принятых $0,14.</t>
  </si>
  <si>
    <t xml:space="preserve">-38%</t>
  </si>
  <si>
    <t xml:space="preserve">ИСПРАВЛЕНИЕ ОШИБКИ ФИНАНСОВ. Наценка за референс была построена на правиле kie «вход + выход». Карточка OpenRouter от 03.08.2026: модель поддерживает multimodal reference-to-video, ставка одна на обе колонки (Video+Audio и Video Only, обе $0,1512/сек), формула токенов (высота × ширина × длительность × 24)/1024 входного слагаемого не содержит. Референс на OpenRouter не тарифицируется — значит наценка ничем не обеспечена. Цена приравнена к t2v.</t>
  </si>
  <si>
    <t xml:space="preserve">карточка OpenRouter + аудит разработки</t>
  </si>
  <si>
    <t xml:space="preserve">ИСПРАВЛЕНИЕ — снятие необеспеченной наценки</t>
  </si>
  <si>
    <t xml:space="preserve">+12%</t>
  </si>
  <si>
    <t xml:space="preserve">Единственный рунг без паритета: t2v 4K идёт через kie по $1,04, но kie тарифицирует референс как вход+выход. Поэтому r2v 4K маршрутизируется на OpenRouter по $1,361 и стоит дороже t2v.</t>
  </si>
  <si>
    <t xml:space="preserve">карточка OpenRouter</t>
  </si>
  <si>
    <t xml:space="preserve">ПОВЫШЕНИЕ — смена маршрута</t>
  </si>
  <si>
    <t xml:space="preserve">2026-08-04</t>
  </si>
  <si>
    <t xml:space="preserve">+6%</t>
  </si>
  <si>
    <t xml:space="preserve">Резервная нога AtlasCloud восстановлена. Решение 03.08 снять её принималось при ставке $0,125-0,135, требовавшей 329 кредитов (+21% клиенту). Разработка подтвердила $0,112 — требуется 273, то есть +6%. Модель несёт 8% потребления, альтернативы дешевле $0,084/с на рынке нет: за вторую ногу на такой строке 6% платить стоит.</t>
  </si>
  <si>
    <t xml:space="preserve">решение финансов 04.08.2026, ставка подтверждена разработкой</t>
  </si>
  <si>
    <t xml:space="preserve">ПОВЫШЕНИЕ — восстановление второй ноги</t>
  </si>
  <si>
    <t xml:space="preserve">ТАРИФЫ — ЦЕНА СЧИТАЕТСЯ ИЗ ЦЕЛЕЙ ПРИБЫЛИ</t>
  </si>
  <si>
    <t xml:space="preserve">Тариф задаётся КРЕДИТАМИ (строка 18). Цена считается из целей прибыли («Технический» сверху) и округляется до …99. Сколько генераций каждой модели входит — матрица ниже.</t>
  </si>
  <si>
    <t xml:space="preserve">СЕТКА</t>
  </si>
  <si>
    <t xml:space="preserve">Цена, ₽/мес — утвержденная сетка запуска</t>
  </si>
  <si>
    <t xml:space="preserve">CM2 при 100% расходовании лимита</t>
  </si>
  <si>
    <t xml:space="preserve">Комиссии платежей + УСН, % от цены (само)</t>
  </si>
  <si>
    <t xml:space="preserve">Лимит тарифа, ₽ себестоимости (сам = кредиты × себест. кредита)</t>
  </si>
  <si>
    <t xml:space="preserve">(инфо) видео-генераций veo-3-1-fast (8с) в тарифе</t>
  </si>
  <si>
    <t xml:space="preserve">(инфо) картинок gemini-3-pro-image в тарифе</t>
  </si>
  <si>
    <t xml:space="preserve">Цена 1 видео-генерации (veo-fast) для клиента, ₽</t>
  </si>
  <si>
    <t xml:space="preserve">КРЕДИТОВ В ТАРИФЕ — МЕНЯЙ (задаёт размер тарифа)</t>
  </si>
  <si>
    <t xml:space="preserve">₽ за 1 кредит подписки (сам)</t>
  </si>
  <si>
    <t xml:space="preserve">CM2 при 100% расходовании, средняя по портфелю:</t>
  </si>
  <si>
    <t xml:space="preserve">Поправка маржи тарифа, ±п.п. — МЕНЯЙ (дорогие тарифы дают больше генераций за рубль)</t>
  </si>
  <si>
    <t xml:space="preserve">(развязано: поправки независимы, не зеро-сум)</t>
  </si>
  <si>
    <t xml:space="preserve">← среднее (вычитается автоматически)</t>
  </si>
  <si>
    <t xml:space="preserve">ДОКУПКА КРЕДИТОВ — БЕЗ СРОКА СГОРАНИЯ, ПОЭТОМУ ДОРОЖЕ ULTRA</t>
  </si>
  <si>
    <t xml:space="preserve">Пакет</t>
  </si>
  <si>
    <t xml:space="preserve">₽/кредит</t>
  </si>
  <si>
    <t xml:space="preserve">Цена</t>
  </si>
  <si>
    <t xml:space="preserve">≈ видео-ген (veo-fast)</t>
  </si>
  <si>
    <t xml:space="preserve">vs подписка Ultra</t>
  </si>
  <si>
    <t xml:space="preserve">S</t>
  </si>
  <si>
    <t xml:space="preserve">M</t>
  </si>
  <si>
    <t xml:space="preserve">L</t>
  </si>
  <si>
    <t xml:space="preserve">XL</t>
  </si>
  <si>
    <t xml:space="preserve">XXL</t>
  </si>
  <si>
    <t xml:space="preserve">Сравнение с конкурентами по этим же моделям — в матрице ниже (колонки Syntx).</t>
  </si>
  <si>
    <t xml:space="preserve">УСТАРЕВШИЙ СЛОЙ — НЕ ИСПОЛЬЗОВАТЬ ДЛЯ ЦЕН. Блок ниже посчитан при курсе 76,5, цене кредита 0,36 ₽ и БЕЗ правила отказоустойчивости. Это состояние «ДО» перепрайсинга 25.07.2026 — оно перенесено в лист «Сетка FX» колонкой «Сейчас кр/клип» и там же пересчитано. Закон — «Сетка FX», колонка «КРЕДИТОВ/КЛИП». Актуальны на этом листе только строки 6–21: цены тарифов и кредиты в тарифе.</t>
  </si>
  <si>
    <t xml:space="preserve">VERTOV — генераций/мес</t>
  </si>
  <si>
    <t xml:space="preserve">SYNTX — генераций/мес (заполни колонку R)</t>
  </si>
  <si>
    <t xml:space="preserve">HIGGSFIELD — генераций/мес</t>
  </si>
  <si>
    <t xml:space="preserve">Кредитов в тарифе →</t>
  </si>
  <si>
    <t xml:space="preserve">Единица</t>
  </si>
  <si>
    <t xml:space="preserve">Кредитов за ед.</t>
  </si>
  <si>
    <t xml:space="preserve">Ед. в 1 ген</t>
  </si>
  <si>
    <t xml:space="preserve">Кредитов за 1 ген</t>
  </si>
  <si>
    <t xml:space="preserve">Провайдер $/ед.</t>
  </si>
  <si>
    <t xml:space="preserve">Канал 1=OR 2=direct</t>
  </si>
  <si>
    <t xml:space="preserve">Себест. 1 ген, ₽ (всё вкл.)</t>
  </si>
  <si>
    <t xml:space="preserve">Себест. 1 кредита, ₽</t>
  </si>
  <si>
    <t xml:space="preserve">Валовая маржа кредита (Ultra)</t>
  </si>
  <si>
    <t xml:space="preserve">Syntx ток/ген</t>
  </si>
  <si>
    <t xml:space="preserve">Higgs кр за 1 нашу ген</t>
  </si>
  <si>
    <t xml:space="preserve">Перевес /₽ vs Syntx (ср. по тарифам)</t>
  </si>
  <si>
    <t xml:space="preserve">Fallback ₽/ген</t>
  </si>
  <si>
    <t xml:space="preserve">Fallback себест/кредит</t>
  </si>
  <si>
    <t xml:space="preserve">Floor-check маржа при failover</t>
  </si>
  <si>
    <t xml:space="preserve">— КАРТИНКИ (за картинку) —</t>
  </si>
  <si>
    <t xml:space="preserve">за картинку</t>
  </si>
  <si>
    <t xml:space="preserve">single-vendor</t>
  </si>
  <si>
    <t xml:space="preserve">OR sole</t>
  </si>
  <si>
    <t xml:space="preserve">lao sole</t>
  </si>
  <si>
    <t xml:space="preserve">flux-2-pro · 2MP</t>
  </si>
  <si>
    <t xml:space="preserve">seedream-4-5 · до 4K</t>
  </si>
  <si>
    <t xml:space="preserve">— ВИДЕО (за секунду; «Ед. в 1 ген» = типовая длина клипа — МЕНЯЙ) —</t>
  </si>
  <si>
    <t xml:space="preserve">видео</t>
  </si>
  <si>
    <t xml:space="preserve">veo-3-1 Quality · 720p</t>
  </si>
  <si>
    <t xml:space="preserve">veo-3-1-fast · 720p</t>
  </si>
  <si>
    <t xml:space="preserve">veo-3-1-lite · 720p</t>
  </si>
  <si>
    <t xml:space="preserve">sora-2-pro — УДАЛЕНА (geoblock; не продаётся, исключена из каталога)</t>
  </si>
  <si>
    <t xml:space="preserve">grok-imagine · 720p · Kie</t>
  </si>
  <si>
    <t xml:space="preserve">РЕШЕНИЕ ФАУНДЕРА 2026-07-17 (обновлено): дорогой фейловер ОТКЛЮЧЁН — kie-only + circuit-break (очередь/отказ). Убыток при фейловере устранён конструктивно. Кредиты 45.</t>
  </si>
  <si>
    <t xml:space="preserve">gemini-omni-flash · 720p</t>
  </si>
  <si>
    <t xml:space="preserve">seedance-2-0 · 1080p · OpenRouter</t>
  </si>
  <si>
    <t xml:space="preserve">seedance-2-0-fast · 720p</t>
  </si>
  <si>
    <t xml:space="preserve">wan-2-7 · 720p (kie)</t>
  </si>
  <si>
    <t xml:space="preserve">kling-v3-standard</t>
  </si>
  <si>
    <t xml:space="preserve">OR sole (no fallback)</t>
  </si>
  <si>
    <t xml:space="preserve">veo-3-1 Quality · 1080p</t>
  </si>
  <si>
    <t xml:space="preserve">veo-3-1 Quality · 4K</t>
  </si>
  <si>
    <t xml:space="preserve">veo-3-1-fast · 1080p</t>
  </si>
  <si>
    <t xml:space="preserve">veo-3-1-fast · 4K</t>
  </si>
  <si>
    <t xml:space="preserve">veo-3-1-lite · 1080p</t>
  </si>
  <si>
    <t xml:space="preserve">veo-3-1-lite · 4K</t>
  </si>
  <si>
    <t xml:space="preserve">seedance-2-0 · 4K (t2v)</t>
  </si>
  <si>
    <t xml:space="preserve">gemini-omni · с видео · 720/1080p</t>
  </si>
  <si>
    <t xml:space="preserve">gemini-omni · с видео · 4K</t>
  </si>
  <si>
    <t xml:space="preserve">wan-2-7 · 1080p (kie)</t>
  </si>
  <si>
    <t xml:space="preserve">seedream-5-0-pro · 1K</t>
  </si>
  <si>
    <t xml:space="preserve">seedance-2-mini · 720p — СНЯТО 2026-07-20 (дороже Fast)</t>
  </si>
  <si>
    <t xml:space="preserve">seedance-2-mini · 480p — СНЯТО 2026-07-20</t>
  </si>
  <si>
    <t xml:space="preserve">Mini снят из платного каталога 2026-07-20; энтайтлмент Старт/Плюс → Seedance Fast.</t>
  </si>
  <si>
    <t xml:space="preserve">ЮНИТ-ЭКОНОМИКА</t>
  </si>
  <si>
    <t xml:space="preserve">ШАГ 1 — во сколько обходится 1 генерация каждой модели · ШАГ 2 — сколько зарабатываем на 1 кредите · ШАГ 3 — объём за месяц.</t>
  </si>
  <si>
    <t xml:space="preserve">ШАГ 1. СЕБЕСТОИМОСТЬ 1 ГЕНЕРАЦИИ — ВСЕ АКТИВНЫЕ МОДЕЛИ (из матрицы на «Тарифах»)</t>
  </si>
  <si>
    <t xml:space="preserve">Провайдер, $ за 1 ген</t>
  </si>
  <si>
    <t xml:space="preserve">В рублях по курсу</t>
  </si>
  <si>
    <t xml:space="preserve">+ Комиссия пополнения</t>
  </si>
  <si>
    <t xml:space="preserve">+ Доставка денег (A7)</t>
  </si>
  <si>
    <t xml:space="preserve">+ Агентский НДС</t>
  </si>
  <si>
    <t xml:space="preserve">ИТОГО за 1 ген</t>
  </si>
  <si>
    <t xml:space="preserve">Себест. 1 кредита</t>
  </si>
  <si>
    <t xml:space="preserve">Комиссия пополнения: OpenRouter 5,5%, direct 0%. Доставка A7 0,37%, агентский НДС 18,03%. Ставки — «Технический».</t>
  </si>
  <si>
    <t xml:space="preserve">ШАГ 2. СКОЛЬКО ЗАРАБАТЫВАЕМ НА 1 КРЕДИТЕ — ПО КАНАЛАМ ПРОДАЖИ</t>
  </si>
  <si>
    <t xml:space="preserve">Продаём кредит за</t>
  </si>
  <si>
    <t xml:space="preserve">Себестоимость кредита (средн.)</t>
  </si>
  <si>
    <t xml:space="preserve">Комиссии и возвраты</t>
  </si>
  <si>
    <t xml:space="preserve">Прибыль с кредита</t>
  </si>
  <si>
    <t xml:space="preserve">Подписка Start</t>
  </si>
  <si>
    <t xml:space="preserve">Подписка Pro</t>
  </si>
  <si>
    <t xml:space="preserve">Подписка Studio</t>
  </si>
  <si>
    <t xml:space="preserve">Подписка Elite</t>
  </si>
  <si>
    <t xml:space="preserve">Подписка Ultra</t>
  </si>
  <si>
    <t xml:space="preserve">Докупка (средняя)</t>
  </si>
  <si>
    <t xml:space="preserve">Кредит — настоящая «единица»: клиент платит за кредиты, модели их списывают. Средняя себестоимость: 80% видео / 20% картинки.</t>
  </si>
  <si>
    <t xml:space="preserve">ШАГ 3. НА ОБЪЁМЕ — МЕСЯЦ ПРИ N КЛИЕНТАХ</t>
  </si>
  <si>
    <t xml:space="preserve">Средний лимит тарифа (₽ себестоимости) на клиента</t>
  </si>
  <si>
    <t xml:space="preserve">Потрачено клиентами по подпискам (× использование)</t>
  </si>
  <si>
    <t xml:space="preserve">Потрачено по докупкам кредитов</t>
  </si>
  <si>
    <t xml:space="preserve">ИТОГО себестоимость ИИ за месяц</t>
  </si>
  <si>
    <t xml:space="preserve">   из них видео-модели</t>
  </si>
  <si>
    <t xml:space="preserve">   из них картинки-модели</t>
  </si>
  <si>
    <t xml:space="preserve">ДОБАВЛЕННЫЕ МОДЕЛИ (2026-07-17): wan, kling, seedream 5.0</t>
  </si>
  <si>
    <t xml:space="preserve">P&amp;L — МЕСЯЦ ПРИ N ПЛАТЯЩИХ КЛИЕНТАХ</t>
  </si>
  <si>
    <t xml:space="preserve">Все статьи из cost_model_context.md / pnl.md. Рычаги — на «Техническом». УСН по селектору (6% с зачётом взносов или Д−Р 15% с мин. 1%).</t>
  </si>
  <si>
    <t xml:space="preserve">ВЫРУЧКА</t>
  </si>
  <si>
    <t xml:space="preserve">% выр.</t>
  </si>
  <si>
    <t xml:space="preserve">Подписки: N × средний чек (с годовой скидкой)</t>
  </si>
  <si>
    <t xml:space="preserve">Top-up (доп-кредиты)</t>
  </si>
  <si>
    <t xml:space="preserve">ИТОГО ВЫРУЧКА (GMV)</t>
  </si>
  <si>
    <t xml:space="preserve">СЕБЕСТОИМОСТЬ ИИ (COGS) — по компонентам</t>
  </si>
  <si>
    <t xml:space="preserve">Потрачено на генерации всего (подписки×использование + top-up)</t>
  </si>
  <si>
    <t xml:space="preserve">   − База (цена провайдера по ЦБ-курсу)</t>
  </si>
  <si>
    <t xml:space="preserve">   − Комиссии пополнения (OpenRouter 5,5% / direct)</t>
  </si>
  <si>
    <t xml:space="preserve">   − Коридор A7/ВТБ (курсовые/перевод)</t>
  </si>
  <si>
    <t xml:space="preserve">   − Агентский НДС (18,03% стоимости услуги)</t>
  </si>
  <si>
    <t xml:space="preserve">ВАЛОВАЯ ПРИБЫЛЬ</t>
  </si>
  <si>
    <t xml:space="preserve">ПЛАТЕЖИ И ОПЕРАЦИОННЫЕ</t>
  </si>
  <si>
    <t xml:space="preserve">   − Эквайринг (blended СБП/карты)</t>
  </si>
  <si>
    <t xml:space="preserve">   − Фискализация («Чеки» % или касса-фикс)</t>
  </si>
  <si>
    <t xml:space="preserve">   − Возвраты (нетто)</t>
  </si>
  <si>
    <t xml:space="preserve">   − Хостинг (по сценарию)</t>
  </si>
  <si>
    <t xml:space="preserve">   − Хранение+трафик медиа (₽/юзер × N)</t>
  </si>
  <si>
    <t xml:space="preserve">   − Бухгалтерия / домен / email</t>
  </si>
  <si>
    <t xml:space="preserve">   − Страховые взносы ИП (фикс)</t>
  </si>
  <si>
    <t xml:space="preserve">   − Взносы 1% с дохода свыше 300k/год</t>
  </si>
  <si>
    <t xml:space="preserve">ОПЕРАЦ. ПРИБЫЛЬ (до маркетинга и УСН)</t>
  </si>
  <si>
    <t xml:space="preserve">МАРКЕТИНГ, УСН И ИТОГ</t>
  </si>
  <si>
    <t xml:space="preserve">   − Маркетинг (удержание: отток × CAC)</t>
  </si>
  <si>
    <t xml:space="preserve">   − УСН (по селектору: 6% с зачётом взносов / Д−Р 15%)</t>
  </si>
  <si>
    <t xml:space="preserve">ЧИСТАЯ ПРИБЫЛЬ, ₽/мес</t>
  </si>
  <si>
    <t xml:space="preserve">КЛЮЧЕВЫЕ МЕТРИКИ</t>
  </si>
  <si>
    <t xml:space="preserve">Чистая маржа (при текущем использовании)</t>
  </si>
  <si>
    <t xml:space="preserve">Чистая прибыль на 1 клиента, ₽/мес</t>
  </si>
  <si>
    <t xml:space="preserve">Мин. гарантированная маржа тарифов (в среднем)</t>
  </si>
  <si>
    <t xml:space="preserve">Самая низкая гарантированная маржа тарифа</t>
  </si>
  <si>
    <t xml:space="preserve">Доля top-up в выручке</t>
  </si>
  <si>
    <t xml:space="preserve">СТРЕСС-ТЕСТ ПРИ 100% РАСХОДОВАНИИ ЛИМИТА</t>
  </si>
  <si>
    <t xml:space="preserve">Base SKU mix</t>
  </si>
  <si>
    <t xml:space="preserve">Stress: дорогие видео</t>
  </si>
  <si>
    <t xml:space="preserve">Worst SKU</t>
  </si>
  <si>
    <t xml:space="preserve">Чистая прибыль, ₽</t>
  </si>
  <si>
    <t xml:space="preserve">Net margin</t>
  </si>
  <si>
    <t xml:space="preserve">Себестоимость кредита, ₽</t>
  </si>
  <si>
    <t xml:space="preserve">ПРОВЕРКА: ПРИБЫЛЬ ПРИ РАЗНЫХ ТРАТАХ КЛИЕНТОВ</t>
  </si>
  <si>
    <t xml:space="preserve">Клиенты тратят из лимита →</t>
  </si>
  <si>
    <t xml:space="preserve">50%</t>
  </si>
  <si>
    <t xml:space="preserve">75%</t>
  </si>
  <si>
    <t xml:space="preserve">100%</t>
  </si>
  <si>
    <t xml:space="preserve">Средневзвеш.</t>
  </si>
  <si>
    <t xml:space="preserve">Наша цель («Технический»)</t>
  </si>
  <si>
    <t xml:space="preserve">Средневзвешенная маржа сходится с целью (небольшой плюс — от округления цен вверх до …99). Колонка «100%» — худший случай: все потратили весь лимит.</t>
  </si>
  <si>
    <t xml:space="preserve">ТЕХНИЧЕСКИЙ — ПАНЕЛЬ УПРАВЛЕНИЯ И ВСЕ ПАРАМЕТРЫ</t>
  </si>
  <si>
    <t xml:space="preserve">Синее — то, что ты меняешь. Всё остальное считается само. Начни с блока «ЦЕЛИ ПРИБЫЛИ» ниже.</t>
  </si>
  <si>
    <t xml:space="preserve">ЦЕЛИ ПРИБЫЛИ — задай, сколько хотим зарабатывать (цены тарифов пересчитаются сами)</t>
  </si>
  <si>
    <t xml:space="preserve">Сколько клиент тратит из купленного лимита →</t>
  </si>
  <si>
    <t xml:space="preserve">Потрачено из лимита</t>
  </si>
  <si>
    <t xml:space="preserve">Сколько таких клиентов (доля) — МЕНЯЙ</t>
  </si>
  <si>
    <t xml:space="preserve">Хотим чистой маржи с таких клиентов — МЕНЯЙ</t>
  </si>
  <si>
    <t xml:space="preserve">Среднее использование лимита (само)</t>
  </si>
  <si>
    <t xml:space="preserve">Целевая чистая маржа в среднем (само)</t>
  </si>
  <si>
    <t xml:space="preserve">(служебное) остаток после комиссий и налога</t>
  </si>
  <si>
    <t xml:space="preserve">(служебное) постоянные расходы + маркетинг + докупки</t>
  </si>
  <si>
    <t xml:space="preserve">фикс + маркетинг + себест. top-up</t>
  </si>
  <si>
    <t xml:space="preserve">(служебное) →</t>
  </si>
  <si>
    <t xml:space="preserve">(служебное) база подписочной выручки</t>
  </si>
  <si>
    <t xml:space="preserve">(служебное) выручка от докупки кредитов</t>
  </si>
  <si>
    <t xml:space="preserve">→ МИНИМАЛЬНАЯ ГАРАНТИРОВАННАЯ МАРЖА ТАРИФОВ (само)</t>
  </si>
  <si>
    <t xml:space="preserve">маржа, которая остаётся, даже если клиент потратит ВЕСЬ лимит. Уходит в цены.</t>
  </si>
  <si>
    <t xml:space="preserve">А. КУРС И КОРИДОР (доставка денег до провайдера)</t>
  </si>
  <si>
    <t xml:space="preserve">Курс ЦБ USD/RUB</t>
  </si>
  <si>
    <t xml:space="preserve">РУЧНОЙ ВВОД. Курс ЦБ USD/RUB. ЕДИНЫЙ ДЛЯ ВСЕЙ КНИГИ. Обновлён 03.08.2026, источник cbr.ru. Должен совпадать с «Сетка FX» B3.</t>
  </si>
  <si>
    <t xml:space="preserve">Комиссия OpenRouter за пополнение, %</t>
  </si>
  <si>
    <t xml:space="preserve">Комиссия пополнения direct (laozhang/kie), %</t>
  </si>
  <si>
    <t xml:space="preserve">плейсхолдер</t>
  </si>
  <si>
    <t xml:space="preserve">КОРИДОР: 1 = A7 (агент), 2 = ВТБ (банк)</t>
  </si>
  <si>
    <t xml:space="preserve">A7: комиссия вкл. НДС, %</t>
  </si>
  <si>
    <t xml:space="preserve">USD напрямую, без FX-потерь</t>
  </si>
  <si>
    <t xml:space="preserve">ВТБ: итого маршрут, %</t>
  </si>
  <si>
    <t xml:space="preserve">7,58% конверсия ₽→сум</t>
  </si>
  <si>
    <t xml:space="preserve">Коридор по выбору (авто), %</t>
  </si>
  <si>
    <t xml:space="preserve">Ставка НДС (агентский), %</t>
  </si>
  <si>
    <t xml:space="preserve">Агентский НДС, расчётная доля (авто)</t>
  </si>
  <si>
    <t xml:space="preserve">22/122=18,03%</t>
  </si>
  <si>
    <t xml:space="preserve">ПОЛНАЯ СЕБЕСТОИМОСТЬ $1 через OpenRouter, ₽</t>
  </si>
  <si>
    <t xml:space="preserve">ПОЛНАЯ СЕБЕСТОИМОСТЬ $1 direct, ₽</t>
  </si>
  <si>
    <t xml:space="preserve">Б. ЦЕНЫ МОДЕЛЕЙ — ЖИВУТ В МАТРИЦЕ НА «ТАРИФАХ» (строки 49+)</t>
  </si>
  <si>
    <t xml:space="preserve">(перенесено: цена $/ед., кредиты, каналы — в матрице моделей)</t>
  </si>
  <si>
    <t xml:space="preserve">Доля запросов через резервного провайдера (инфо; цены в матрице уже blended)</t>
  </si>
  <si>
    <t xml:space="preserve">В. СРЕДНЯЯ СЕБЕСТОИМОСТЬ КРЕДИТА (для лимитов тарифов)</t>
  </si>
  <si>
    <t xml:space="preserve">Base mix: средняя полная себестоимость 1 кредита, ₽</t>
  </si>
  <si>
    <t xml:space="preserve">Weighted SKU mix; используется в базовом P&amp;L.</t>
  </si>
  <si>
    <t xml:space="preserve">АВТОРИТЕТ: expected 80/20 = 0.8×primary + 0.2×fallback (pricing-source-of-truth-2026-07-16, доля фейловера 20%; kie не валидирован — WARNING в Проверки). Кормит Прайсинг!B17. primary-only ≈0.19 — справочно ниже (допущение kie 100% uptime).</t>
  </si>
  <si>
    <t xml:space="preserve">   средняя по видео-моделям, ₽/кредит</t>
  </si>
  <si>
    <t xml:space="preserve">   средняя по картинкам, ₽/кредит</t>
  </si>
  <si>
    <t xml:space="preserve">Stress mix: дорогие видео-SKU, ₽/кредит</t>
  </si>
  <si>
    <t xml:space="preserve">ЦЕНОВОЙ ЯКОРЬ = самая дорогая модель, ₽/кредит (worst-case, для floor)</t>
  </si>
  <si>
    <t xml:space="preserve">Worst SKU; защитный якорь pricing floor.</t>
  </si>
  <si>
    <t xml:space="preserve">Г. ПРИЁМ ПЛАТЕЖЕЙ И ФИСКАЛИЗАЦИЯ</t>
  </si>
  <si>
    <t xml:space="preserve">Эквайринг СБП, %</t>
  </si>
  <si>
    <t xml:space="preserve">Эквайринг карты, %</t>
  </si>
  <si>
    <t xml:space="preserve">Доля СБП, %</t>
  </si>
  <si>
    <t xml:space="preserve">Blended эквайринг (авто)</t>
  </si>
  <si>
    <t xml:space="preserve">ФИСКАЛИЗАЦИЯ: 1=«Чеки» 1,5%, 2=касса-фикс</t>
  </si>
  <si>
    <t xml:space="preserve">безубыток ~80k/мес</t>
  </si>
  <si>
    <t xml:space="preserve">«Чеки», %</t>
  </si>
  <si>
    <t xml:space="preserve">Касса, ₽/мес</t>
  </si>
  <si>
    <t xml:space="preserve">Фиск. переменная (авто)</t>
  </si>
  <si>
    <t xml:space="preserve">Фиск. фикс (авто)</t>
  </si>
  <si>
    <t xml:space="preserve">Возвраты нетто, % GMV</t>
  </si>
  <si>
    <t xml:space="preserve">ИТОГО переменные от выручки без УСН (авто)</t>
  </si>
  <si>
    <t xml:space="preserve">Д. НАЛОГИ РФ (ИП)</t>
  </si>
  <si>
    <t xml:space="preserve">УСН: 1=«Доходы» 6%, 2=«Д−Р» 15%</t>
  </si>
  <si>
    <t xml:space="preserve">УСН «Доходы», %</t>
  </si>
  <si>
    <t xml:space="preserve">УСН «Д−Р», %</t>
  </si>
  <si>
    <t xml:space="preserve">Мин. налог при Д−Р, %</t>
  </si>
  <si>
    <t xml:space="preserve">Страховые взносы, ₽/год</t>
  </si>
  <si>
    <t xml:space="preserve">Взносы фикс, ₽/мес (авто)</t>
  </si>
  <si>
    <t xml:space="preserve">Порог 1%-взноса, ₽/год</t>
  </si>
  <si>
    <t xml:space="preserve">Е. ФИКСИРОВАННЫЕ РАСХОДЫ</t>
  </si>
  <si>
    <t xml:space="preserve">ХОСТИНГ: 1=грант(0), 2=self-host, 3=managed</t>
  </si>
  <si>
    <t xml:space="preserve">Хостинг ₽/мес (авто)</t>
  </si>
  <si>
    <t xml:space="preserve">Бухгалтерия, ₽/мес</t>
  </si>
  <si>
    <t xml:space="preserve">Домен, ₽/мес</t>
  </si>
  <si>
    <t xml:space="preserve">Email, ₽/мес</t>
  </si>
  <si>
    <t xml:space="preserve">Медиа-хранение, ₽/юзер/мес</t>
  </si>
  <si>
    <t xml:space="preserve">Ж. ПОРТФЕЛЬ И ПОВЕДЕНИЕ</t>
  </si>
  <si>
    <t xml:space="preserve">Платящих клиентов (N)</t>
  </si>
  <si>
    <t xml:space="preserve">Доля Start</t>
  </si>
  <si>
    <t xml:space="preserve">Доля Pro</t>
  </si>
  <si>
    <t xml:space="preserve">Доля Studio</t>
  </si>
  <si>
    <t xml:space="preserve">Доля Elite</t>
  </si>
  <si>
    <t xml:space="preserve">Сумма долей (авто)</t>
  </si>
  <si>
    <t xml:space="preserve">Использование лимита (само = блок «Цели прибыли»)</t>
  </si>
  <si>
    <t xml:space="preserve">управляется долями клиентов в целях прибыли</t>
  </si>
  <si>
    <t xml:space="preserve">Доля годовых</t>
  </si>
  <si>
    <t xml:space="preserve">Годовые подписки отключены на запуске</t>
  </si>
  <si>
    <t xml:space="preserve">Скидка годовой</t>
  </si>
  <si>
    <t xml:space="preserve">Churn месячных, %/мес</t>
  </si>
  <si>
    <t xml:space="preserve">Churn годовых, %/мес</t>
  </si>
  <si>
    <t xml:space="preserve">Blended churn (авто)</t>
  </si>
  <si>
    <t xml:space="preserve">CAC, ₽</t>
  </si>
  <si>
    <t xml:space="preserve">Доля потребления на видео, %</t>
  </si>
  <si>
    <t xml:space="preserve">Доля тарифа Ultra (5-й)</t>
  </si>
  <si>
    <t xml:space="preserve">З. TOP-UP</t>
  </si>
  <si>
    <t xml:space="preserve">(резерв)</t>
  </si>
  <si>
    <t xml:space="preserve">Себестоимость 1 кредита (сама, = блок В)</t>
  </si>
  <si>
    <t xml:space="preserve">Доля покупающих top-up</t>
  </si>
  <si>
    <t xml:space="preserve">РЕШЕНИЕ ОСНОВАТЕЛЯ (2026-07-17, обновлено): grok = kie-only + circuit-break (очередь/отказ вместо дорогого фейловера). Отрицательный floor-check неактуален.</t>
  </si>
  <si>
    <t xml:space="preserve">Средний номинал, кредитов</t>
  </si>
  <si>
    <t xml:space="preserve">Абс. себест grok ~8 руб/ген, потеря при полном failover копеечная; конкурентность против Syntx (+14%) важнее.</t>
  </si>
  <si>
    <t xml:space="preserve">Средняя ₽/кредит</t>
  </si>
  <si>
    <t xml:space="preserve">Top-up выручка (авто)</t>
  </si>
  <si>
    <t xml:space="preserve">Top-up себестоимость (авто)</t>
  </si>
  <si>
    <t xml:space="preserve">И. КОНКУРЕНТЫ — ФАКТЫ</t>
  </si>
  <si>
    <t xml:space="preserve">Syntx тариф →</t>
  </si>
  <si>
    <t xml:space="preserve">Ultra Elite</t>
  </si>
  <si>
    <t xml:space="preserve">(планы: $ | кредитов)</t>
  </si>
  <si>
    <t xml:space="preserve">Syntx цена, ₽/мес</t>
  </si>
  <si>
    <t xml:space="preserve">Syntx токенов/мес</t>
  </si>
  <si>
    <t xml:space="preserve">Syntx: токенов за Seedance 1080p 5с</t>
  </si>
  <si>
    <t xml:space="preserve">✓ кабинет</t>
  </si>
  <si>
    <t xml:space="preserve">Runway Max</t>
  </si>
  <si>
    <t xml:space="preserve">Syntx: токенов за Nano Banana Pro</t>
  </si>
  <si>
    <t xml:space="preserve">✓ 2026-07-01</t>
  </si>
  <si>
    <t xml:space="preserve">Higgs Plus</t>
  </si>
  <si>
    <t xml:space="preserve">Надбавка к $-цене конкурента для РФ-клиента, %</t>
  </si>
  <si>
    <t xml:space="preserve">5% ≈ потери ВТБ FX при пополнении зарубежной карты. Альтернатива: посредники +20–30% — переключай сценарий.</t>
  </si>
  <si>
    <t xml:space="preserve">Higgs Ultra</t>
  </si>
  <si>
    <t xml:space="preserve">Runway: кредитов за 1 генерацию Seedance</t>
  </si>
  <si>
    <t xml:space="preserve">Higgs Starter</t>
  </si>
  <si>
    <t xml:space="preserve">Higgsfield тарифы (факт 2026-07): Starter $19/270 · Plus $59/1200 · Ultra $129/3000 (годовая: Plus $47, Ultra $99). Промо-бандлы PRO/MAX не считаем.</t>
  </si>
  <si>
    <t xml:space="preserve">Higgsfield: кредитов за Seedance 1080p 5с = 45 ✓ подтверждено скрейпом</t>
  </si>
  <si>
    <t xml:space="preserve">Higgsfield планы (для формул: H/I)</t>
  </si>
  <si>
    <t xml:space="preserve">Syntx докупка токенов: 9 пакетов, 3,60 → 1,90 ₽/токен (100 → 20 800 ток). Скрейп 2026-07.</t>
  </si>
  <si>
    <t xml:space="preserve">К. СПРАВКА</t>
  </si>
  <si>
    <t xml:space="preserve">Цели прибыли</t>
  </si>
  <si>
    <t xml:space="preserve">Задаёшь: сколько клиентов тратят 50/75/100% лимита и какую чистую маржу хотим с каждой группы. Модель считает среднюю цель, из неё — минимальную гарантированную маржу тарифов и цены (…99). Проверка — внизу P&amp;L.</t>
  </si>
  <si>
    <t xml:space="preserve">Мин. гарантированная маржа</t>
  </si>
  <si>
    <t xml:space="preserve">Маржа тарифа, если клиент потратит весь свой лимит: цена − себестоимость генераций − платёжные комиссии − УСН. Ниже неё уйти нельзя ни при каком поведении клиента.</t>
  </si>
  <si>
    <t xml:space="preserve">A7 / ВТБ</t>
  </si>
  <si>
    <t xml:space="preserve">A7: 0,366%, USD напрямую, без FX. ВТБ: ≈8,22% (конверсия ₽→сум). Переключатель в блоке А.</t>
  </si>
  <si>
    <t xml:space="preserve">Агентский НДС 18,03%</t>
  </si>
  <si>
    <t xml:space="preserve">НДС налогового агента при покупке услуги у UZ-юрлица: 22/122 от стоимости. Крупнейший налог.</t>
  </si>
  <si>
    <t xml:space="preserve">LaoZhang — основной для проверенных дешевых image SKU; Atlas/OpenRouter — fallback. Баланс Lao: не более 7–14 дней COGS.</t>
  </si>
  <si>
    <t xml:space="preserve">Основной провайдер Nano — laozhang ($0,09); резервный — kie ($0,09/1K, $0,12/4K). Итоговая цена — среднее с учётом доли резервного.</t>
  </si>
  <si>
    <t xml:space="preserve">«Чеки»</t>
  </si>
  <si>
    <t xml:space="preserve">Фискализация без кассы: 1,5% с платежа. До ~80k/мес оборота выгоднее кассы.</t>
  </si>
  <si>
    <t xml:space="preserve">УСН 6 vs 15</t>
  </si>
  <si>
    <t xml:space="preserve">6% с дохода (взносы в зачёт) или 15% Д−Р (мин. 1%). Риск 15% — документируемость OpenRouter.</t>
  </si>
  <si>
    <t xml:space="preserve">Полная себестоимость</t>
  </si>
  <si>
    <t xml:space="preserve">Цена провайдера + комиссия пополнения + коридор + агентский НДС, в ₽.</t>
  </si>
  <si>
    <t xml:space="preserve">МИКС ПОТРЕБЛЕНИЯ (доля кредитов) — источник себестоимости: «Сетка FX», живая сетка. Лист «Тарифы» отключён 10.08.2026.</t>
  </si>
  <si>
    <t xml:space="preserve">Себест ₽/кредит на ОСНОВНОЙ ноге</t>
  </si>
  <si>
    <t xml:space="preserve">Себест ₽/кредит на РЕЗЕРВНОЙ ноге</t>
  </si>
  <si>
    <t xml:space="preserve">Veo Fast 720p (Сетка FX стр.11)</t>
  </si>
  <si>
    <t xml:space="preserve">Veo Quality 1080p (Сетка FX стр.10)</t>
  </si>
  <si>
    <t xml:space="preserve">Veo Lite 720p (Сетка FX стр.13)</t>
  </si>
  <si>
    <t xml:space="preserve">Seedance 2.0 1080p (Сетка FX стр.16)</t>
  </si>
  <si>
    <t xml:space="preserve">Seedance Fast 720p (Сетка FX стр.19)</t>
  </si>
  <si>
    <t xml:space="preserve">Gemini Omni (Сетка FX стр.30)</t>
  </si>
  <si>
    <t xml:space="preserve">Wan 2.7 720p (Сетка FX стр.25)</t>
  </si>
  <si>
    <t xml:space="preserve">Grok 720p (Сетка FX стр.28)</t>
  </si>
  <si>
    <t xml:space="preserve">HappyHorse 1.1 720p (Сетка FX стр.21)</t>
  </si>
  <si>
    <t xml:space="preserve">Kling v3 720p (звук) (Сетка FX стр.27)</t>
  </si>
  <si>
    <t xml:space="preserve">nano-banana (Сетка FX стр.31)</t>
  </si>
  <si>
    <t xml:space="preserve">gpt-image-2 1K (low) (Сетка FX стр.36)</t>
  </si>
  <si>
    <t xml:space="preserve">nano-banana-pro 1K (Сетка FX стр.34)</t>
  </si>
  <si>
    <t xml:space="preserve">seedream-4.5 1K (Сетка FX стр.39)</t>
  </si>
  <si>
    <t xml:space="preserve">seedream-5.0 Lite 2K (Сетка FX стр.42)</t>
  </si>
  <si>
    <t xml:space="preserve">seedream-5.0 Pro 1K · 0-1 реф (Сетка FX стр.40)</t>
  </si>
  <si>
    <t xml:space="preserve">Seedance 2.0 4K (Сетка FX стр.15)</t>
  </si>
  <si>
    <t xml:space="preserve">ГИПОТЕЗА 11.08.2026 — 4K не наблюдался, приложение не выпущено</t>
  </si>
  <si>
    <t xml:space="preserve">→ блендед на основной ноге</t>
  </si>
  <si>
    <t xml:space="preserve">→ блендед на резервной ноге</t>
  </si>
  <si>
    <t xml:space="preserve">СЕБЕСТОИМОСТЬ 1 КРЕДИТА, СМЕШАННАЯ ПО ДОЛЕ ОТКАЗОВ ← это значение идёт в финмодель, Прайсинг!B17</t>
  </si>
  <si>
    <t xml:space="preserve">ГИПОТЕЗЫ МИКСА — ЗАФИКСИРОВАНЫ 11.08.2026, ФАКТА НЕТ И НЕ БУДЕТ ДО ЗАПУСКА.
1) 4K ЗАВЕДЁН В МИКС С ВЕСОМ 4% КРЕДИТОВ. До сегодняшнего дня вес был НУЛЕВОЙ, то есть модель исходила из того, что 4K не покупают вовсе — и снижение цены r2v 4K на 27,6% она буквально не видела. 4% выбраны так: один ролик 4K стоит 2108 кредитов против 775 за 1080p, то есть 2,7 ступени; при доле генераций в 4K около 1,5% это и даёт примерно 4% кредитов. Остальные 16 строк ужаты пропорционально на 4%, соотношения между ними не менялись.
2) ДОЛЯ ЗАПРОСОВ ЧЕРЕЗ РЕЗЕРВ ОСТАВЛЕНА 10% (C38). Замерить нечем. 10% — это плановая частота отказов поставщика, а не наблюдение. Известно, что она может быть выше по причине, не связанной с авариями: если основная нога отвергает запрос по типу (как kie на wan i2v), каждый такой вызов является отказом по определению. Такие случаи чинятся подключением маршрута, а не закладываются в допущение.
3) ОБЕ ГИПОТЕЗЫ РАСКРЫТЫ В ЧУВСТВИТЕЛЬНОСТИ. Доля отказов проверена в диапазоне 5-25%, чтобы инвестор видел разброс, а не одну цифру. Пересмотреть в первый месяц после запуска по журналу заданий — это единственный способ, других нет.</t>
  </si>
  <si>
    <t xml:space="preserve">АУДИТ СЕБЕСТОИМОСТИ — рабочие источники и статус на 14.07.2026</t>
  </si>
  <si>
    <t xml:space="preserve">Курс ЦБ 85 ₽/$ (обновлено 03.08.2026). Landed: OpenRouter 106,182 / direct 100,6315. Единый курс книги — «Технический» C17 и «Сетка FX» B3.</t>
  </si>
  <si>
    <t xml:space="preserve">Модель (маркетинг)</t>
  </si>
  <si>
    <t xml:space="preserve">Наша $/ед</t>
  </si>
  <si>
    <t xml:space="preserve">Ед.</t>
  </si>
  <si>
    <t xml:space="preserve">Офиц./бенчмарк вендора</t>
  </si>
  <si>
    <t xml:space="preserve">0.02</t>
  </si>
  <si>
    <t xml:space="preserve">Atlas fallback</t>
  </si>
  <si>
    <t xml:space="preserve">Lao /api/pricing 2026-07-16</t>
  </si>
  <si>
    <t xml:space="preserve">image</t>
  </si>
  <si>
    <t xml:space="preserve">OpenRouter public page</t>
  </si>
  <si>
    <t xml:space="preserve">1K default</t>
  </si>
  <si>
    <t xml:space="preserve">$0.050 fallback</t>
  </si>
  <si>
    <t xml:space="preserve">Lao dashboard + charge logs</t>
  </si>
  <si>
    <t xml:space="preserve">vector</t>
  </si>
  <si>
    <t xml:space="preserve">Atlas $0.040</t>
  </si>
  <si>
    <t xml:space="preserve">Lao charge logs / Atlas calculator</t>
  </si>
  <si>
    <t xml:space="preserve">MEDIUM</t>
  </si>
  <si>
    <t xml:space="preserve">Atlas $0.080</t>
  </si>
  <si>
    <t xml:space="preserve">Lao dashboard + docs</t>
  </si>
  <si>
    <t xml:space="preserve">1K/2K/4K</t>
  </si>
  <si>
    <t xml:space="preserve">Kie $0.090</t>
  </si>
  <si>
    <t xml:space="preserve">Lao charge logs</t>
  </si>
  <si>
    <t xml:space="preserve">2MP</t>
  </si>
  <si>
    <t xml:space="preserve">OpenRouter $0.03/MP</t>
  </si>
  <si>
    <t xml:space="preserve">Lao docs / OR normalized by MP</t>
  </si>
  <si>
    <t xml:space="preserve">0.0325</t>
  </si>
  <si>
    <t xml:space="preserve">до 4K</t>
  </si>
  <si>
    <t xml:space="preserve">Lao $0.045 / OR $0.04 fallback</t>
  </si>
  <si>
    <t xml:space="preserve">Kie dashboard snapshot 2026-07-16</t>
  </si>
  <si>
    <t xml:space="preserve">HIGH (ручной снапшот)</t>
  </si>
  <si>
    <t xml:space="preserve">happyhorse-1-0 / 1-1</t>
  </si>
  <si>
    <t xml:space="preserve">$0.0988</t>
  </si>
  <si>
    <t xml:space="preserve">за сек</t>
  </si>
  <si>
    <t xml:space="preserve">OpenRouter каталог (прод-БД)</t>
  </si>
  <si>
    <t xml:space="preserve">○ ниша, публ. офиц. нет</t>
  </si>
  <si>
    <t xml:space="preserve">$1.275</t>
  </si>
  <si>
    <t xml:space="preserve">за видео 1080p</t>
  </si>
  <si>
    <t xml:space="preserve">Kie (primary)</t>
  </si>
  <si>
    <t xml:space="preserve">OR $0.40/с fallback (×2.6 дороже)</t>
  </si>
  <si>
    <t xml:space="preserve">$0.30</t>
  </si>
  <si>
    <t xml:space="preserve">за видео 720p</t>
  </si>
  <si>
    <t xml:space="preserve">OR $0.10/с fallback</t>
  </si>
  <si>
    <t xml:space="preserve">$0.15</t>
  </si>
  <si>
    <t xml:space="preserve">OR $0.05/с fallback</t>
  </si>
  <si>
    <t xml:space="preserve">sora-2-pro — УДАЛЕНА (geoblock)</t>
  </si>
  <si>
    <t xml:space="preserve">$0.015</t>
  </si>
  <si>
    <t xml:space="preserve">за сек 720p</t>
  </si>
  <si>
    <t xml:space="preserve">Atlas/OR $0.07/с fallback</t>
  </si>
  <si>
    <t xml:space="preserve">$0.525</t>
  </si>
  <si>
    <t xml:space="preserve">за видео 8с 720/1080p</t>
  </si>
  <si>
    <t xml:space="preserve">Atlas $1.35/10с fallback</t>
  </si>
  <si>
    <t xml:space="preserve">seedance-2-0 (1080p)</t>
  </si>
  <si>
    <t xml:space="preserve">$0.3402</t>
  </si>
  <si>
    <t xml:space="preserve">OpenRouter спец. $0.3402/с (Dreamina-direct $0.374 — другой канал)</t>
  </si>
  <si>
    <t xml:space="preserve">OpenRouter (скрин) / ByteDance</t>
  </si>
  <si>
    <t xml:space="preserve">✓ верно для нашего канала (OpenRouter)</t>
  </si>
  <si>
    <t xml:space="preserve">seedance-2-0-fast (720p)</t>
  </si>
  <si>
    <t xml:space="preserve">$0.122</t>
  </si>
  <si>
    <t xml:space="preserve">ByteDance офиц. $0.60/5с = $0.12/с</t>
  </si>
  <si>
    <t xml:space="preserve">ByteDance/Dreamina (скрин)</t>
  </si>
  <si>
    <t xml:space="preserve">✓ совпадает</t>
  </si>
  <si>
    <t xml:space="preserve">ИТОГ: Kie/Lao primary по veo/omni/grok/seedream-4.5/картинкам; OR primary по seedance/happyhorse/wan/kling/recraft. Kie/Atlas — ручные снапшоты 2026-07-16, перечитать дашборд перед инвестор-рефрешем.</t>
  </si>
  <si>
    <t xml:space="preserve">PiAPI — ОЖИДАЕТ. Veo посекундно $0,12/с против kie поклипно $1,275. Дешевле на 25% при 8 с, 44% при 6 с, 62% при 4 с. Снимает исключение с порогом 15%. Нужно сопоставление тарифов и ответ по звуку.</t>
  </si>
  <si>
    <t xml:space="preserve">ПАРАМЕТРИКА — полная лесенка по разрешению/качеству. Кредиты = базовый тир × множитель вендора (документ 2026-07-16). Failover-safe наложен per-tier.</t>
  </si>
  <si>
    <t xml:space="preserve">⚠ ЛАДДЕР ВЫКЛЮЧЕН В ПРОДЕ (is_active:false): маржи ниже — ЦЕЛЕВЫЕ, не живые. Прод биллит флэт creditCostPerUnit. Активация — docs/pricing-activation-checklist.</t>
  </si>
  <si>
    <t xml:space="preserve">Параметр</t>
  </si>
  <si>
    <t xml:space="preserve">Кредитов/ген</t>
  </si>
  <si>
    <t xml:space="preserve">Себест ₽ (primary)</t>
  </si>
  <si>
    <t xml:space="preserve">Fallback ₽</t>
  </si>
  <si>
    <t xml:space="preserve">Маржа на primary</t>
  </si>
  <si>
    <t xml:space="preserve">Floor-check (при failover)</t>
  </si>
  <si>
    <t xml:space="preserve">Примечание</t>
  </si>
  <si>
    <t xml:space="preserve">veo-3.1 Quality</t>
  </si>
  <si>
    <t xml:space="preserve">BUMP</t>
  </si>
  <si>
    <t xml:space="preserve">veo-3.1 Fast</t>
  </si>
  <si>
    <t xml:space="preserve">veo-3.1 Lite</t>
  </si>
  <si>
    <t xml:space="preserve">seedance-2.0</t>
  </si>
  <si>
    <t xml:space="preserve">4K (t2v)</t>
  </si>
  <si>
    <t xml:space="preserve">NEW $1.04/с ×5с</t>
  </si>
  <si>
    <t xml:space="preserve">seedance-2.0-fast</t>
  </si>
  <si>
    <t xml:space="preserve">gemini-omni</t>
  </si>
  <si>
    <t xml:space="preserve">grok-imagine</t>
  </si>
  <si>
    <t xml:space="preserve">принят риск</t>
  </si>
  <si>
    <t xml:space="preserve">happyhorse-1.1</t>
  </si>
  <si>
    <t xml:space="preserve">happyhorse-1.0</t>
  </si>
  <si>
    <t xml:space="preserve">gpt-image-2 (quality)</t>
  </si>
  <si>
    <t xml:space="preserve">1K/low</t>
  </si>
  <si>
    <t xml:space="preserve">2K/med</t>
  </si>
  <si>
    <t xml:space="preserve">4K/high</t>
  </si>
  <si>
    <t xml:space="preserve">nano-banana-pro (lao-flat)</t>
  </si>
  <si>
    <t xml:space="preserve">захват lao-flat маржи (та же цена, +кредиты)</t>
  </si>
  <si>
    <t xml:space="preserve">seedream-5.0 Pro</t>
  </si>
  <si>
    <t xml:space="preserve">SEEDANCE — ВИДЕО-ВХОД (kie биллит ×(input+output) сек; ставки держат маржу по вендорскому ратио; primary no-video остаётся OR для seedance-2/fast)</t>
  </si>
  <si>
    <t xml:space="preserve">Конфиг</t>
  </si>
  <si>
    <t xml:space="preserve">Токенов/сек</t>
  </si>
  <si>
    <t xml:space="preserve">Себест kie $/с</t>
  </si>
  <si>
    <t xml:space="preserve">seedance-2</t>
  </si>
  <si>
    <t xml:space="preserve">4K · с видео</t>
  </si>
  <si>
    <t xml:space="preserve">база 1080p OR 0.3402; ratio 0.64/0.3402</t>
  </si>
  <si>
    <t xml:space="preserve">1080p · с видео</t>
  </si>
  <si>
    <t xml:space="preserve">720p · с видео</t>
  </si>
  <si>
    <t xml:space="preserve">480p · с видео</t>
  </si>
  <si>
    <t xml:space="preserve">seedance-2-fast</t>
  </si>
  <si>
    <t xml:space="preserve">база 720p OR 0.121</t>
  </si>
  <si>
    <t xml:space="preserve">seedance-2-mini — СНЯТО 2026-07-20 (дороже Fast; вне каталога)</t>
  </si>
  <si>
    <t xml:space="preserve">Floor-якорь: для seedance-2/fast fallback = OR no-video (output-only, $0.3402/$0.121 flat) — kie with-video landed ниже, floor safe. Mini: single-vendor, floor n/a (как Kling). Charge-логика: units = output_s (+input_s для video-input режимов).</t>
  </si>
  <si>
    <t xml:space="preserve">РЕШЕНИЯ 2026-07-20</t>
  </si>
  <si>
    <t xml:space="preserve">① Правило биллинга #4 — «за секунду ВХОДНОГО видео»: edit-режимы (Grok/Omni/Wan video-edit) считают выход по длине входа. Таксономия: (1) unit×(вход+выход) [Seedance]; (2) флэт-премиум [Omni с-видео]; (3) пер-клип по длительности [Omni без-видео / veo пер-клип]; (4) за секунду входа [edit].</t>
  </si>
  <si>
    <t xml:space="preserve">② Extend / Upscale (veo/grok) — ОТКЛЮЧЕНЫ по решению фаундера 2026-07-20. Себест известна, цена не заводится. Dev: в бэклог (не в проде).</t>
  </si>
  <si>
    <t xml:space="preserve">③ GPT Image 2 — утверждённые 10 кр (флэт), не менялись. i2i-режим (референс до 8 картинок): вендор биллит дороже, COGS t2i ~$0.031 / i2i ~$0.038 (+25%). Отдельной i2i-цены нет (ретейл-норма — флэт). ФЛАГ ФАУНДЕРУ: на floor-паке 0.331 при 10 кр i2i уходит чуть ниже break-even (~−4%); поднимать ли цену — стратегическое решение за тобой.</t>
  </si>
  <si>
    <t xml:space="preserve">④ negative_prompt (Seedream 4.5 / Wan / Kling) — в модели НИКОГДА не тарифицировался; де-рекламирован. Убирать нечего.</t>
  </si>
  <si>
    <t xml:space="preserve">⑤ Seedream 4.5 И 5.0 — держим обе в палитре Витрины.</t>
  </si>
</sst>
</file>

<file path=xl/styles.xml><?xml version="1.0" encoding="utf-8"?>
<styleSheet xmlns="http://schemas.openxmlformats.org/spreadsheetml/2006/main">
  <numFmts count="17">
    <numFmt numFmtId="164" formatCode="General"/>
    <numFmt numFmtId="165" formatCode="#,##0&quot; ₽&quot;"/>
    <numFmt numFmtId="166" formatCode="#,##0.0"/>
    <numFmt numFmtId="167" formatCode="#,##0"/>
    <numFmt numFmtId="168" formatCode="0.0%"/>
    <numFmt numFmtId="169" formatCode="#,##0.00&quot; ₽&quot;"/>
    <numFmt numFmtId="170" formatCode="\$#,##0"/>
    <numFmt numFmtId="171" formatCode="0%"/>
    <numFmt numFmtId="172" formatCode="\+0%;\-0%"/>
    <numFmt numFmtId="173" formatCode="0.0000"/>
    <numFmt numFmtId="174" formatCode="0.00"/>
    <numFmt numFmtId="175" formatCode="#,##0.000&quot; ₽&quot;"/>
    <numFmt numFmtId="176" formatCode="0.00%"/>
    <numFmt numFmtId="177" formatCode="\$#,##0.000"/>
    <numFmt numFmtId="178" formatCode="0.000"/>
    <numFmt numFmtId="179" formatCode="0.000000"/>
    <numFmt numFmtId="180" formatCode="\$#,##0.00_);[RED]&quot;($&quot;#,##0.00\)"/>
  </numFmts>
  <fonts count="64">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0"/>
      <color rgb="FF808080"/>
      <name val="Arial"/>
      <family val="0"/>
      <charset val="1"/>
    </font>
    <font>
      <b val="true"/>
      <sz val="11"/>
      <color rgb="FFFFFFFF"/>
      <name val="Arial"/>
      <family val="0"/>
      <charset val="1"/>
    </font>
    <font>
      <b val="true"/>
      <u val="single"/>
      <sz val="10"/>
      <color rgb="FF0563C1"/>
      <name val="Arial"/>
      <family val="0"/>
      <charset val="1"/>
    </font>
    <font>
      <sz val="9"/>
      <color rgb="FF333333"/>
      <name val="Arial"/>
      <family val="0"/>
      <charset val="1"/>
    </font>
    <font>
      <sz val="9"/>
      <color rgb="FF808080"/>
      <name val="Arial"/>
      <family val="0"/>
      <charset val="1"/>
    </font>
    <font>
      <b val="true"/>
      <sz val="9"/>
      <color rgb="FF1F4E78"/>
      <name val="Arial"/>
      <family val="0"/>
      <charset val="1"/>
    </font>
    <font>
      <b val="true"/>
      <sz val="10"/>
      <color rgb="FF000000"/>
      <name val="Arial"/>
      <family val="0"/>
      <charset val="1"/>
    </font>
    <font>
      <sz val="10"/>
      <color rgb="FF000000"/>
      <name val="Arial"/>
      <family val="0"/>
      <charset val="1"/>
    </font>
    <font>
      <b val="true"/>
      <sz val="11"/>
      <color rgb="FF000000"/>
      <name val="Arial"/>
      <family val="0"/>
      <charset val="1"/>
    </font>
    <font>
      <sz val="10"/>
      <color rgb="FF333333"/>
      <name val="Arial"/>
      <family val="0"/>
      <charset val="1"/>
    </font>
    <font>
      <sz val="9"/>
      <color rgb="FF000000"/>
      <name val="Arial"/>
      <family val="0"/>
      <charset val="1"/>
    </font>
    <font>
      <sz val="8"/>
      <color rgb="FF808080"/>
      <name val="Arial"/>
      <family val="0"/>
      <charset val="1"/>
    </font>
    <font>
      <b val="true"/>
      <sz val="14"/>
      <color rgb="FF1F4E78"/>
      <name val="Arial"/>
      <family val="0"/>
      <charset val="1"/>
    </font>
    <font>
      <b val="true"/>
      <sz val="8"/>
      <color rgb="FF808080"/>
      <name val="Arial"/>
      <family val="0"/>
      <charset val="1"/>
    </font>
    <font>
      <b val="true"/>
      <sz val="9"/>
      <color rgb="FF000000"/>
      <name val="Arial"/>
      <family val="0"/>
      <charset val="1"/>
    </font>
    <font>
      <b val="true"/>
      <sz val="8"/>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006100"/>
      <name val="Cambria"/>
      <family val="0"/>
      <charset val="1"/>
    </font>
    <font>
      <i val="true"/>
      <sz val="9"/>
      <name val="Cambria"/>
      <family val="0"/>
      <charset val="1"/>
    </font>
    <font>
      <b val="true"/>
      <sz val="11"/>
      <name val="Cambria"/>
      <family val="0"/>
      <charset val="1"/>
    </font>
    <font>
      <i val="true"/>
      <sz val="9"/>
      <color rgb="FF7030A0"/>
      <name val="Cambria"/>
      <family val="0"/>
      <charset val="1"/>
    </font>
    <font>
      <i val="true"/>
      <sz val="9"/>
      <color rgb="FFC00000"/>
      <name val="Cambria"/>
      <family val="0"/>
      <charset val="1"/>
    </font>
    <font>
      <b val="true"/>
      <sz val="11"/>
      <color rgb="FFFFFFFF"/>
      <name val="Cambria"/>
      <family val="0"/>
      <charset val="1"/>
    </font>
    <font>
      <b val="true"/>
      <sz val="9"/>
      <name val="Cambria"/>
      <family val="0"/>
      <charset val="1"/>
    </font>
    <font>
      <b val="true"/>
      <sz val="10"/>
      <name val="Cambria"/>
      <family val="0"/>
      <charset val="1"/>
    </font>
    <font>
      <b val="true"/>
      <sz val="9"/>
      <color rgb="FFFFFFFF"/>
      <name val="Cambria"/>
      <family val="0"/>
      <charset val="1"/>
    </font>
    <font>
      <sz val="9"/>
      <name val="Cambria"/>
      <family val="0"/>
      <charset val="1"/>
    </font>
    <font>
      <sz val="9"/>
      <color rgb="FF006100"/>
      <name val="Cambria"/>
      <family val="0"/>
      <charset val="1"/>
    </font>
    <font>
      <b val="true"/>
      <sz val="11"/>
      <color rgb="FF1F3864"/>
      <name val="Cambria"/>
      <family val="0"/>
      <charset val="1"/>
    </font>
    <font>
      <sz val="9"/>
      <color rgb="FF9C0006"/>
      <name val="Cambria"/>
      <family val="0"/>
      <charset val="1"/>
    </font>
    <font>
      <b val="true"/>
      <sz val="11"/>
      <color rgb="FF9C0006"/>
      <name val="Cambria"/>
      <family val="0"/>
      <charset val="1"/>
    </font>
    <font>
      <i val="true"/>
      <sz val="11"/>
      <color rgb="FF808080"/>
      <name val="Cambria"/>
      <family val="0"/>
      <charset val="1"/>
    </font>
    <font>
      <b val="true"/>
      <sz val="12"/>
      <color rgb="FFFFFFFF"/>
      <name val="Cambria"/>
      <family val="0"/>
      <charset val="1"/>
    </font>
    <font>
      <i val="true"/>
      <sz val="9"/>
      <color rgb="FF9C0006"/>
      <name val="Cambria"/>
      <family val="0"/>
      <charset val="1"/>
    </font>
    <font>
      <b val="true"/>
      <sz val="9"/>
      <color rgb="FFC00000"/>
      <name val="Cambria"/>
      <family val="0"/>
      <charset val="1"/>
    </font>
    <font>
      <b val="true"/>
      <sz val="12"/>
      <name val="Cambria"/>
      <family val="0"/>
      <charset val="1"/>
    </font>
    <font>
      <b val="true"/>
      <sz val="10"/>
      <color rgb="FF1F4E78"/>
      <name val="Arial"/>
      <family val="0"/>
      <charset val="1"/>
    </font>
    <font>
      <b val="true"/>
      <sz val="10"/>
      <color rgb="FF0000FF"/>
      <name val="Arial"/>
      <family val="0"/>
      <charset val="1"/>
    </font>
    <font>
      <b val="true"/>
      <sz val="9"/>
      <color rgb="FF008000"/>
      <name val="Arial"/>
      <family val="0"/>
      <charset val="1"/>
    </font>
    <font>
      <sz val="9"/>
      <color rgb="FF0000FF"/>
      <name val="Arial"/>
      <family val="0"/>
      <charset val="1"/>
    </font>
    <font>
      <b val="true"/>
      <sz val="8"/>
      <color rgb="FF000000"/>
      <name val="Arial"/>
      <family val="0"/>
      <charset val="1"/>
    </font>
    <font>
      <b val="true"/>
      <sz val="8"/>
      <color rgb="FFFFFFFF"/>
      <name val="Arial"/>
      <family val="0"/>
      <charset val="1"/>
    </font>
    <font>
      <b val="true"/>
      <sz val="9"/>
      <color rgb="FF0000FF"/>
      <name val="Arial"/>
      <family val="0"/>
      <charset val="1"/>
    </font>
    <font>
      <b val="true"/>
      <sz val="9"/>
      <color rgb="FF107C41"/>
      <name val="Arial"/>
      <family val="0"/>
      <charset val="1"/>
    </font>
    <font>
      <sz val="8"/>
      <color rgb="FFB45309"/>
      <name val="Arial"/>
      <family val="0"/>
      <charset val="1"/>
    </font>
    <font>
      <b val="true"/>
      <sz val="8.5"/>
      <color rgb="FF1F4E78"/>
      <name val="Arial"/>
      <family val="0"/>
      <charset val="1"/>
    </font>
    <font>
      <b val="true"/>
      <sz val="9"/>
      <color rgb="FFFFFFFF"/>
      <name val="Arial"/>
      <family val="0"/>
      <charset val="1"/>
    </font>
    <font>
      <b val="true"/>
      <sz val="13"/>
      <color rgb="FF000000"/>
      <name val="Arial"/>
      <family val="0"/>
      <charset val="1"/>
    </font>
    <font>
      <b val="true"/>
      <sz val="11"/>
      <color rgb="FF008000"/>
      <name val="Arial"/>
      <family val="0"/>
      <charset val="1"/>
    </font>
    <font>
      <sz val="9"/>
      <color rgb="FF000000"/>
      <name val="Arial"/>
      <family val="2"/>
      <charset val="204"/>
    </font>
    <font>
      <b val="true"/>
      <sz val="10"/>
      <color rgb="FF0000FF"/>
      <name val="Calibri"/>
      <family val="0"/>
      <charset val="1"/>
    </font>
    <font>
      <sz val="10"/>
      <color rgb="FF0000FF"/>
      <name val="Arial"/>
      <family val="0"/>
      <charset val="1"/>
    </font>
    <font>
      <sz val="11"/>
      <color rgb="FF000000"/>
      <name val="Cambria"/>
      <family val="0"/>
      <charset val="1"/>
    </font>
    <font>
      <b val="true"/>
      <sz val="13"/>
      <color rgb="FF1F4E78"/>
      <name val="Arial"/>
      <family val="0"/>
      <charset val="1"/>
    </font>
    <font>
      <sz val="9"/>
      <color rgb="FF107C41"/>
      <name val="Arial"/>
      <family val="0"/>
      <charset val="1"/>
    </font>
    <font>
      <sz val="9"/>
      <color rgb="FF9C6500"/>
      <name val="Arial"/>
      <family val="0"/>
      <charset val="1"/>
    </font>
    <font>
      <i val="true"/>
      <sz val="9"/>
      <color rgb="FF0000FF"/>
      <name val="Cambria"/>
      <family val="0"/>
      <charset val="1"/>
    </font>
  </fonts>
  <fills count="24">
    <fill>
      <patternFill patternType="none"/>
    </fill>
    <fill>
      <patternFill patternType="gray125"/>
    </fill>
    <fill>
      <patternFill patternType="solid">
        <fgColor rgb="FF1F4E78"/>
        <bgColor rgb="FF1F3864"/>
      </patternFill>
    </fill>
    <fill>
      <patternFill patternType="solid">
        <fgColor rgb="FFD9E1F2"/>
        <bgColor rgb="FFDCE9FF"/>
      </patternFill>
    </fill>
    <fill>
      <patternFill patternType="solid">
        <fgColor rgb="FFE2EFDA"/>
        <bgColor rgb="FFE0F5E0"/>
      </patternFill>
    </fill>
    <fill>
      <patternFill patternType="solid">
        <fgColor rgb="FFEAEEF7"/>
        <bgColor rgb="FFDCE9FF"/>
      </patternFill>
    </fill>
    <fill>
      <patternFill patternType="solid">
        <fgColor rgb="FFFDF3E3"/>
        <bgColor rgb="FFFBF1DE"/>
      </patternFill>
    </fill>
    <fill>
      <patternFill patternType="solid">
        <fgColor rgb="FFC6EFCE"/>
        <bgColor rgb="FFE2EFDA"/>
      </patternFill>
    </fill>
    <fill>
      <patternFill patternType="solid">
        <fgColor rgb="FFDCE9FF"/>
        <bgColor rgb="FFD9E1F2"/>
      </patternFill>
    </fill>
    <fill>
      <patternFill patternType="solid">
        <fgColor rgb="FF2F3640"/>
        <bgColor rgb="FF333333"/>
      </patternFill>
    </fill>
    <fill>
      <patternFill patternType="solid">
        <fgColor rgb="FFFFC7CE"/>
        <bgColor rgb="FFFFE0E0"/>
      </patternFill>
    </fill>
    <fill>
      <patternFill patternType="solid">
        <fgColor rgb="FFFFD966"/>
        <bgColor rgb="FFFFC7CE"/>
      </patternFill>
    </fill>
    <fill>
      <patternFill patternType="solid">
        <fgColor rgb="FFC00000"/>
        <bgColor rgb="FF9C0006"/>
      </patternFill>
    </fill>
    <fill>
      <patternFill patternType="solid">
        <fgColor rgb="FF7030A0"/>
        <bgColor rgb="FF800080"/>
      </patternFill>
    </fill>
    <fill>
      <patternFill patternType="solid">
        <fgColor rgb="FFE0F5E0"/>
        <bgColor rgb="FFE2EFDA"/>
      </patternFill>
    </fill>
    <fill>
      <patternFill patternType="solid">
        <fgColor rgb="FFFFF2CC"/>
        <bgColor rgb="FFFFF6D5"/>
      </patternFill>
    </fill>
    <fill>
      <patternFill patternType="solid">
        <fgColor rgb="FFD9D9D9"/>
        <bgColor rgb="FFD9E1F2"/>
      </patternFill>
    </fill>
    <fill>
      <patternFill patternType="solid">
        <fgColor rgb="FF1F3864"/>
        <bgColor rgb="FF2F3640"/>
      </patternFill>
    </fill>
    <fill>
      <patternFill patternType="solid">
        <fgColor rgb="FF4472C4"/>
        <bgColor rgb="FF4F81BD"/>
      </patternFill>
    </fill>
    <fill>
      <patternFill patternType="solid">
        <fgColor rgb="FFFBE9E7"/>
        <bgColor rgb="FFFBF1DE"/>
      </patternFill>
    </fill>
    <fill>
      <patternFill patternType="solid">
        <fgColor rgb="FFFBF1DE"/>
        <bgColor rgb="FFFDF3E3"/>
      </patternFill>
    </fill>
    <fill>
      <patternFill patternType="solid">
        <fgColor rgb="FFF5F8FC"/>
        <bgColor rgb="FFFFFFFF"/>
      </patternFill>
    </fill>
    <fill>
      <patternFill patternType="solid">
        <fgColor rgb="FFFFF6D5"/>
        <bgColor rgb="FFFFF2CC"/>
      </patternFill>
    </fill>
    <fill>
      <patternFill patternType="solid">
        <fgColor rgb="FFFFE0E0"/>
        <bgColor rgb="FFFBE9E7"/>
      </patternFill>
    </fill>
  </fills>
  <borders count="4">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top/>
      <bottom style="thin"/>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6" fontId="12" fillId="0" borderId="0" xfId="0" applyFont="true" applyBorder="false" applyAlignment="true" applyProtection="false">
      <alignment horizontal="center" vertical="bottom" textRotation="0" wrapText="false" indent="0" shrinkToFit="false"/>
      <protection locked="true" hidden="false"/>
    </xf>
    <xf numFmtId="167" fontId="12" fillId="0" borderId="0" xfId="0" applyFont="true" applyBorder="false" applyAlignment="true" applyProtection="false">
      <alignment horizontal="center" vertical="bottom" textRotation="0" wrapText="false" indent="0" shrinkToFit="false"/>
      <protection locked="true" hidden="false"/>
    </xf>
    <xf numFmtId="168" fontId="12"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8"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0" fontId="19" fillId="4" borderId="0" xfId="0" applyFont="true" applyBorder="false" applyAlignment="true" applyProtection="false">
      <alignment horizontal="center" vertical="bottom" textRotation="0" wrapText="false" indent="0" shrinkToFit="false"/>
      <protection locked="true" hidden="false"/>
    </xf>
    <xf numFmtId="165" fontId="19" fillId="4" borderId="0" xfId="0" applyFont="true" applyBorder="false" applyAlignment="true" applyProtection="false">
      <alignment horizontal="center" vertical="bottom" textRotation="0" wrapText="false" indent="0" shrinkToFit="false"/>
      <protection locked="true" hidden="false"/>
    </xf>
    <xf numFmtId="164" fontId="20" fillId="3" borderId="0" xfId="0" applyFont="true" applyBorder="false" applyAlignment="tru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6" fontId="15" fillId="4" borderId="0" xfId="0" applyFont="true" applyBorder="false" applyAlignment="true" applyProtection="false">
      <alignment horizontal="center" vertical="bottom" textRotation="0" wrapText="false" indent="0" shrinkToFit="false"/>
      <protection locked="true" hidden="false"/>
    </xf>
    <xf numFmtId="170" fontId="19" fillId="5" borderId="0" xfId="0" applyFont="true" applyBorder="false" applyAlignment="true" applyProtection="false">
      <alignment horizontal="center" vertical="bottom" textRotation="0" wrapText="false" indent="0" shrinkToFit="false"/>
      <protection locked="true" hidden="false"/>
    </xf>
    <xf numFmtId="165" fontId="19" fillId="5" borderId="0" xfId="0" applyFont="true" applyBorder="false" applyAlignment="true" applyProtection="false">
      <alignment horizontal="center" vertical="bottom" textRotation="0" wrapText="false" indent="0" shrinkToFit="false"/>
      <protection locked="true" hidden="false"/>
    </xf>
    <xf numFmtId="166" fontId="15" fillId="5" borderId="0" xfId="0" applyFont="true" applyBorder="false" applyAlignment="true" applyProtection="false">
      <alignment horizontal="center" vertical="bottom" textRotation="0" wrapText="false" indent="0" shrinkToFit="false"/>
      <protection locked="true" hidden="false"/>
    </xf>
    <xf numFmtId="170" fontId="19" fillId="6" borderId="0" xfId="0" applyFont="true" applyBorder="false" applyAlignment="true" applyProtection="false">
      <alignment horizontal="center" vertical="bottom" textRotation="0" wrapText="false" indent="0" shrinkToFit="false"/>
      <protection locked="true" hidden="false"/>
    </xf>
    <xf numFmtId="165" fontId="19" fillId="6" borderId="0" xfId="0" applyFont="true" applyBorder="false" applyAlignment="true" applyProtection="false">
      <alignment horizontal="center" vertical="bottom" textRotation="0" wrapText="false" indent="0" shrinkToFit="false"/>
      <protection locked="true" hidden="false"/>
    </xf>
    <xf numFmtId="166" fontId="15" fillId="6" borderId="0" xfId="0" applyFont="true" applyBorder="false" applyAlignment="true" applyProtection="false">
      <alignment horizontal="center" vertical="bottom" textRotation="0" wrapText="false" indent="0" shrinkToFit="false"/>
      <protection locked="true" hidden="false"/>
    </xf>
    <xf numFmtId="164" fontId="24" fillId="7"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6" fillId="8"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9" borderId="1" xfId="0" applyFont="true" applyBorder="true" applyAlignment="true" applyProtection="false">
      <alignment horizontal="center" vertical="center" textRotation="0" wrapText="true" indent="0" shrinkToFit="false"/>
      <protection locked="true" hidden="false"/>
    </xf>
    <xf numFmtId="164" fontId="30" fillId="7" borderId="1" xfId="0" applyFont="true" applyBorder="true" applyAlignment="true" applyProtection="false">
      <alignment horizontal="center" vertical="center" textRotation="0" wrapText="true" indent="0" shrinkToFit="false"/>
      <protection locked="true" hidden="false"/>
    </xf>
    <xf numFmtId="164" fontId="30" fillId="10" borderId="1" xfId="0" applyFont="true" applyBorder="true" applyAlignment="true" applyProtection="false">
      <alignment horizontal="center" vertical="center" textRotation="0" wrapText="true" indent="0" shrinkToFit="false"/>
      <protection locked="true" hidden="false"/>
    </xf>
    <xf numFmtId="164" fontId="30" fillId="7" borderId="0" xfId="0" applyFont="true" applyBorder="false" applyAlignment="true" applyProtection="false">
      <alignment horizontal="general" vertical="center" textRotation="0" wrapText="true" indent="0" shrinkToFit="false"/>
      <protection locked="true" hidden="false"/>
    </xf>
    <xf numFmtId="164" fontId="30" fillId="4" borderId="0" xfId="0" applyFont="true" applyBorder="false" applyAlignment="true" applyProtection="false">
      <alignment horizontal="general" vertical="center" textRotation="0" wrapText="true" indent="0" shrinkToFit="false"/>
      <protection locked="true" hidden="false"/>
    </xf>
    <xf numFmtId="164" fontId="31" fillId="11" borderId="0" xfId="0" applyFont="true" applyBorder="false" applyAlignment="true" applyProtection="false">
      <alignment horizontal="general" vertical="bottom" textRotation="0" wrapText="true" indent="0" shrinkToFit="false"/>
      <protection locked="true" hidden="false"/>
    </xf>
    <xf numFmtId="164" fontId="30" fillId="7" borderId="0" xfId="0" applyFont="true" applyBorder="false" applyAlignment="true" applyProtection="false">
      <alignment horizontal="general" vertical="bottom" textRotation="0" wrapText="true" indent="0" shrinkToFit="false"/>
      <protection locked="true" hidden="false"/>
    </xf>
    <xf numFmtId="164" fontId="32" fillId="12" borderId="0" xfId="0" applyFont="true" applyBorder="false" applyAlignment="true" applyProtection="false">
      <alignment horizontal="general" vertical="center" textRotation="0" wrapText="true" indent="0" shrinkToFit="false"/>
      <protection locked="true" hidden="false"/>
    </xf>
    <xf numFmtId="164" fontId="32" fillId="13"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26" fillId="14" borderId="1" xfId="0" applyFont="tru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72" fontId="0" fillId="0" borderId="1" xfId="0" applyFont="false" applyBorder="true" applyAlignment="tru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26" fillId="11"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71"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14" borderId="1" xfId="0" applyFont="true" applyBorder="tru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16" borderId="1" xfId="0" applyFont="true" applyBorder="true" applyAlignment="true" applyProtection="false">
      <alignment horizontal="general" vertical="bottom" textRotation="0" wrapText="false" indent="0" shrinkToFit="false"/>
      <protection locked="true" hidden="false"/>
    </xf>
    <xf numFmtId="164" fontId="26" fillId="16" borderId="1" xfId="0" applyFont="true" applyBorder="true" applyAlignment="true" applyProtection="false">
      <alignment horizontal="general" vertical="bottom" textRotation="0" wrapText="false" indent="0" shrinkToFit="false"/>
      <protection locked="true" hidden="false"/>
    </xf>
    <xf numFmtId="171" fontId="0" fillId="16" borderId="1" xfId="0" applyFont="false" applyBorder="true" applyAlignment="true" applyProtection="false">
      <alignment horizontal="general" vertical="bottom" textRotation="0" wrapText="false" indent="0" shrinkToFit="false"/>
      <protection locked="true" hidden="false"/>
    </xf>
    <xf numFmtId="172" fontId="0" fillId="16" borderId="1" xfId="0" applyFont="false" applyBorder="true" applyAlignment="tru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71" fontId="0" fillId="16" borderId="0" xfId="0" applyFont="fals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35" fillId="16" borderId="1" xfId="0" applyFont="true" applyBorder="true" applyAlignment="true" applyProtection="false">
      <alignment horizontal="general" vertical="bottom" textRotation="0" wrapText="false" indent="0" shrinkToFit="false"/>
      <protection locked="true" hidden="false"/>
    </xf>
    <xf numFmtId="171" fontId="30" fillId="1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14" borderId="1" xfId="0" applyFont="true" applyBorder="true" applyAlignment="true" applyProtection="false">
      <alignment horizontal="general" vertical="bottom" textRotation="0" wrapText="false" indent="0" shrinkToFit="false"/>
      <protection locked="true" hidden="false"/>
    </xf>
    <xf numFmtId="164" fontId="33" fillId="16" borderId="0" xfId="0" applyFont="true" applyBorder="false" applyAlignment="true" applyProtection="false">
      <alignment horizontal="general" vertical="bottom" textRotation="0" wrapText="false" indent="0" shrinkToFit="false"/>
      <protection locked="true" hidden="false"/>
    </xf>
    <xf numFmtId="171" fontId="33" fillId="16" borderId="0" xfId="0" applyFont="true" applyBorder="false" applyAlignment="true" applyProtection="false">
      <alignment horizontal="general" vertical="bottom" textRotation="0" wrapText="false" indent="0" shrinkToFit="false"/>
      <protection locked="true" hidden="false"/>
    </xf>
    <xf numFmtId="164" fontId="24" fillId="14" borderId="1" xfId="0" applyFont="true" applyBorder="true" applyAlignment="true" applyProtection="false">
      <alignment horizontal="general" vertical="bottom" textRotation="0" wrapText="false" indent="0" shrinkToFit="false"/>
      <protection locked="true" hidden="false"/>
    </xf>
    <xf numFmtId="164" fontId="38" fillId="0" borderId="1" xfId="0" applyFont="true" applyBorder="true" applyAlignment="true" applyProtection="false">
      <alignment horizontal="general" vertical="bottom" textRotation="0" wrapText="false" indent="0" shrinkToFit="false"/>
      <protection locked="true" hidden="false"/>
    </xf>
    <xf numFmtId="164" fontId="39" fillId="17"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tru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32" fillId="18" borderId="0" xfId="0" applyFont="true" applyBorder="false" applyAlignment="true" applyProtection="false">
      <alignment horizontal="general"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30" fillId="3" borderId="2"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3" fontId="30" fillId="0" borderId="0" xfId="0" applyFont="true" applyBorder="false" applyAlignment="true" applyProtection="false">
      <alignment horizontal="general" vertical="bottom" textRotation="0" wrapText="false" indent="0" shrinkToFit="false"/>
      <protection locked="true" hidden="false"/>
    </xf>
    <xf numFmtId="168" fontId="30" fillId="0" borderId="0" xfId="0" applyFont="true" applyBorder="false" applyAlignment="true" applyProtection="false">
      <alignment horizontal="general" vertical="bottom" textRotation="0" wrapText="false" indent="0" shrinkToFit="false"/>
      <protection locked="true" hidden="false"/>
    </xf>
    <xf numFmtId="174" fontId="30" fillId="10" borderId="0" xfId="0" applyFont="true" applyBorder="false" applyAlignment="tru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4" fontId="33" fillId="7" borderId="0" xfId="0" applyFont="true" applyBorder="false" applyAlignment="true" applyProtection="false">
      <alignment horizontal="general" vertical="bottom" textRotation="0" wrapText="false" indent="0" shrinkToFit="false"/>
      <protection locked="true" hidden="false"/>
    </xf>
    <xf numFmtId="164" fontId="30" fillId="15"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31" fillId="3" borderId="2" xfId="0" applyFont="true" applyBorder="true" applyAlignment="true" applyProtection="false">
      <alignment horizontal="general" vertical="top" textRotation="0" wrapText="true" indent="0" shrinkToFit="false"/>
      <protection locked="true" hidden="false"/>
    </xf>
    <xf numFmtId="164" fontId="33" fillId="15"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9" fillId="17" borderId="0" xfId="0" applyFont="true" applyBorder="false" applyAlignment="true" applyProtection="false">
      <alignment horizontal="general" vertical="bottom" textRotation="0" wrapText="false" indent="0" shrinkToFit="false"/>
      <protection locked="true" hidden="false"/>
    </xf>
    <xf numFmtId="164" fontId="33" fillId="7" borderId="0" xfId="0" applyFont="true" applyBorder="false" applyAlignment="true" applyProtection="false">
      <alignment horizontal="general" vertical="top" textRotation="0" wrapText="true" indent="0" shrinkToFit="false"/>
      <protection locked="true" hidden="false"/>
    </xf>
    <xf numFmtId="164" fontId="33" fillId="10" borderId="0" xfId="0" applyFont="true" applyBorder="false" applyAlignment="true" applyProtection="false">
      <alignment horizontal="general" vertical="top" textRotation="0" wrapText="true" indent="0" shrinkToFit="false"/>
      <protection locked="true" hidden="false"/>
    </xf>
    <xf numFmtId="164" fontId="43" fillId="3" borderId="0" xfId="0" applyFont="true" applyBorder="false" applyAlignment="true" applyProtection="false">
      <alignment horizontal="center" vertical="bottom" textRotation="0" wrapText="false" indent="0" shrinkToFit="false"/>
      <protection locked="true" hidden="false"/>
    </xf>
    <xf numFmtId="165" fontId="11" fillId="4" borderId="0" xfId="0" applyFont="true" applyBorder="false" applyAlignment="true" applyProtection="false">
      <alignment horizontal="center" vertical="bottom" textRotation="0" wrapText="false" indent="0" shrinkToFit="false"/>
      <protection locked="true" hidden="false"/>
    </xf>
    <xf numFmtId="167" fontId="12" fillId="4" borderId="0" xfId="0" applyFont="true" applyBorder="false" applyAlignment="true" applyProtection="false">
      <alignment horizontal="center" vertical="bottom" textRotation="0" wrapText="false" indent="0" shrinkToFit="false"/>
      <protection locked="true" hidden="false"/>
    </xf>
    <xf numFmtId="167" fontId="44" fillId="4" borderId="0" xfId="0" applyFont="true" applyBorder="false" applyAlignment="true" applyProtection="false">
      <alignment horizontal="center" vertical="bottom" textRotation="0" wrapText="false" indent="0" shrinkToFit="false"/>
      <protection locked="true" hidden="false"/>
    </xf>
    <xf numFmtId="169" fontId="12" fillId="0" borderId="0" xfId="0" applyFont="true" applyBorder="false" applyAlignment="true" applyProtection="false">
      <alignment horizontal="center" vertical="bottom" textRotation="0" wrapText="false" indent="0" shrinkToFit="false"/>
      <protection locked="true" hidden="false"/>
    </xf>
    <xf numFmtId="175" fontId="12"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8" fontId="45" fillId="0" borderId="0" xfId="0" applyFont="true" applyBorder="false" applyAlignment="true" applyProtection="false">
      <alignment horizontal="center" vertical="bottom" textRotation="0" wrapText="false" indent="0" shrinkToFit="false"/>
      <protection locked="true" hidden="false"/>
    </xf>
    <xf numFmtId="168" fontId="46" fillId="0" borderId="0" xfId="0" applyFont="true" applyBorder="false" applyAlignment="true" applyProtection="false">
      <alignment horizontal="center" vertical="bottom" textRotation="0" wrapText="false" indent="0" shrinkToFit="false"/>
      <protection locked="true" hidden="false"/>
    </xf>
    <xf numFmtId="176" fontId="16" fillId="0" borderId="0" xfId="0" applyFont="true" applyBorder="false" applyAlignment="true" applyProtection="false">
      <alignment horizontal="center" vertical="bottom" textRotation="0" wrapText="false" indent="0" shrinkToFit="false"/>
      <protection locked="true" hidden="false"/>
    </xf>
    <xf numFmtId="165" fontId="15" fillId="2" borderId="0" xfId="0" applyFont="true" applyBorder="false" applyAlignment="true" applyProtection="false">
      <alignment horizontal="center"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8" fontId="10" fillId="3" borderId="0" xfId="0" applyFont="true" applyBorder="fals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7" fontId="46" fillId="0" borderId="0" xfId="0" applyFont="true" applyBorder="false" applyAlignment="true" applyProtection="false">
      <alignment horizontal="center" vertical="bottom" textRotation="0" wrapText="false" indent="0" shrinkToFit="false"/>
      <protection locked="true" hidden="false"/>
    </xf>
    <xf numFmtId="169" fontId="46" fillId="0" borderId="0" xfId="0" applyFont="true" applyBorder="false" applyAlignment="true" applyProtection="false">
      <alignment horizontal="center" vertical="bottom" textRotation="0" wrapText="false" indent="0" shrinkToFit="false"/>
      <protection locked="true" hidden="false"/>
    </xf>
    <xf numFmtId="165" fontId="15" fillId="0" borderId="0" xfId="0" applyFont="true" applyBorder="false" applyAlignment="true" applyProtection="false">
      <alignment horizontal="center" vertical="bottom" textRotation="0" wrapText="false" indent="0" shrinkToFit="false"/>
      <protection locked="true" hidden="false"/>
    </xf>
    <xf numFmtId="172" fontId="15"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7" fontId="15" fillId="0" borderId="0" xfId="0" applyFont="true" applyBorder="false" applyAlignment="true" applyProtection="false">
      <alignment horizontal="center" vertical="bottom" textRotation="0" wrapText="false" indent="0" shrinkToFit="false"/>
      <protection locked="true" hidden="false"/>
    </xf>
    <xf numFmtId="169" fontId="15" fillId="0" borderId="0" xfId="0" applyFont="true" applyBorder="false" applyAlignment="true" applyProtection="false">
      <alignment horizontal="center" vertical="bottom" textRotation="0" wrapText="false" indent="0" shrinkToFit="false"/>
      <protection locked="true" hidden="false"/>
    </xf>
    <xf numFmtId="164" fontId="37" fillId="1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10" fillId="6" borderId="0" xfId="0" applyFont="true" applyBorder="true" applyAlignment="true" applyProtection="false">
      <alignment horizontal="center" vertical="bottom" textRotation="0" wrapText="false" indent="0" shrinkToFit="false"/>
      <protection locked="true" hidden="false"/>
    </xf>
    <xf numFmtId="177" fontId="15" fillId="0" borderId="0" xfId="0" applyFont="true" applyBorder="false" applyAlignment="true" applyProtection="false">
      <alignment horizontal="center" vertical="bottom" textRotation="0" wrapText="false" indent="0" shrinkToFit="false"/>
      <protection locked="true" hidden="false"/>
    </xf>
    <xf numFmtId="167" fontId="47" fillId="4" borderId="0" xfId="0" applyFont="true" applyBorder="false" applyAlignment="true" applyProtection="false">
      <alignment horizontal="center" vertical="bottom" textRotation="0" wrapText="false" indent="0" shrinkToFit="false"/>
      <protection locked="true" hidden="false"/>
    </xf>
    <xf numFmtId="167" fontId="47" fillId="5" borderId="0" xfId="0" applyFont="true" applyBorder="false" applyAlignment="true" applyProtection="false">
      <alignment horizontal="center" vertical="bottom" textRotation="0" wrapText="false" indent="0" shrinkToFit="false"/>
      <protection locked="true" hidden="false"/>
    </xf>
    <xf numFmtId="167" fontId="47" fillId="6" borderId="0" xfId="0" applyFont="true" applyBorder="false" applyAlignment="true" applyProtection="false">
      <alignment horizontal="center"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true" indent="0" shrinkToFit="false"/>
      <protection locked="true" hidden="false"/>
    </xf>
    <xf numFmtId="177" fontId="20" fillId="3" borderId="0" xfId="0" applyFont="true" applyBorder="false" applyAlignment="true" applyProtection="false">
      <alignment horizontal="center" vertical="bottom" textRotation="0" wrapText="true" indent="0" shrinkToFit="false"/>
      <protection locked="true" hidden="false"/>
    </xf>
    <xf numFmtId="165" fontId="20" fillId="3" borderId="0" xfId="0" applyFont="true" applyBorder="false" applyAlignment="true" applyProtection="false">
      <alignment horizontal="center" vertical="bottom" textRotation="0" wrapText="true" indent="0" shrinkToFit="false"/>
      <protection locked="true" hidden="false"/>
    </xf>
    <xf numFmtId="169" fontId="20" fillId="3" borderId="0" xfId="0" applyFont="true" applyBorder="false" applyAlignment="true" applyProtection="false">
      <alignment horizontal="center" vertical="bottom" textRotation="0" wrapText="true" indent="0" shrinkToFit="false"/>
      <protection locked="true" hidden="false"/>
    </xf>
    <xf numFmtId="166" fontId="20" fillId="3" borderId="0" xfId="0" applyFont="true" applyBorder="false" applyAlignment="true" applyProtection="false">
      <alignment horizontal="center" vertical="bottom" textRotation="0" wrapText="true" indent="0" shrinkToFit="false"/>
      <protection locked="true" hidden="false"/>
    </xf>
    <xf numFmtId="172" fontId="20" fillId="3" borderId="0" xfId="0" applyFont="true" applyBorder="false" applyAlignment="true" applyProtection="false">
      <alignment horizontal="center" vertical="bottom" textRotation="0" wrapText="true" indent="0" shrinkToFit="false"/>
      <protection locked="true" hidden="false"/>
    </xf>
    <xf numFmtId="164" fontId="48" fillId="2"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77" fontId="15" fillId="3" borderId="0" xfId="0" applyFont="true" applyBorder="false" applyAlignment="true" applyProtection="false">
      <alignment horizontal="center" vertical="bottom" textRotation="0" wrapText="false" indent="0" shrinkToFit="false"/>
      <protection locked="true" hidden="false"/>
    </xf>
    <xf numFmtId="165" fontId="15" fillId="3" borderId="0" xfId="0" applyFont="true" applyBorder="false" applyAlignment="true" applyProtection="false">
      <alignment horizontal="center" vertical="bottom" textRotation="0" wrapText="false" indent="0" shrinkToFit="false"/>
      <protection locked="true" hidden="false"/>
    </xf>
    <xf numFmtId="169" fontId="15" fillId="3" borderId="0" xfId="0" applyFont="true" applyBorder="false" applyAlignment="true" applyProtection="false">
      <alignment horizontal="center" vertical="bottom" textRotation="0" wrapText="false" indent="0" shrinkToFit="false"/>
      <protection locked="true" hidden="false"/>
    </xf>
    <xf numFmtId="166" fontId="15" fillId="3" borderId="0" xfId="0" applyFont="true" applyBorder="false" applyAlignment="true" applyProtection="false">
      <alignment horizontal="center" vertical="bottom" textRotation="0" wrapText="false" indent="0" shrinkToFit="false"/>
      <protection locked="true" hidden="false"/>
    </xf>
    <xf numFmtId="172" fontId="15" fillId="3" borderId="0" xfId="0" applyFont="true" applyBorder="fals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6" fontId="46"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center" vertical="bottom" textRotation="0" wrapText="false" indent="0" shrinkToFit="false"/>
      <protection locked="true" hidden="false"/>
    </xf>
    <xf numFmtId="177" fontId="46" fillId="0" borderId="0" xfId="0" applyFont="true" applyBorder="false" applyAlignment="true" applyProtection="false">
      <alignment horizontal="center" vertical="bottom" textRotation="0" wrapText="false" indent="0" shrinkToFit="false"/>
      <protection locked="true" hidden="false"/>
    </xf>
    <xf numFmtId="175" fontId="15" fillId="0" borderId="0" xfId="0" applyFont="true" applyBorder="false" applyAlignment="true" applyProtection="false">
      <alignment horizontal="center" vertical="bottom" textRotation="0" wrapText="false" indent="0" shrinkToFit="false"/>
      <protection locked="true" hidden="false"/>
    </xf>
    <xf numFmtId="166" fontId="19" fillId="4" borderId="0" xfId="0" applyFont="true" applyBorder="false" applyAlignment="true" applyProtection="false">
      <alignment horizontal="center" vertical="bottom" textRotation="0" wrapText="false" indent="0" shrinkToFit="false"/>
      <protection locked="true" hidden="false"/>
    </xf>
    <xf numFmtId="166" fontId="49" fillId="0" borderId="0" xfId="0" applyFont="true" applyBorder="false" applyAlignment="true" applyProtection="false">
      <alignment horizontal="center" vertical="bottom" textRotation="0" wrapText="false" indent="0" shrinkToFit="false"/>
      <protection locked="true" hidden="false"/>
    </xf>
    <xf numFmtId="172" fontId="50" fillId="0" borderId="0" xfId="0" applyFont="true" applyBorder="false" applyAlignment="true" applyProtection="false">
      <alignment horizontal="center" vertical="bottom" textRotation="0" wrapText="false" indent="0" shrinkToFit="false"/>
      <protection locked="true" hidden="false"/>
    </xf>
    <xf numFmtId="166" fontId="51" fillId="0" borderId="0" xfId="0" applyFont="tru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75" fontId="15" fillId="3" borderId="0" xfId="0" applyFont="true" applyBorder="false" applyAlignment="true" applyProtection="false">
      <alignment horizontal="center" vertical="bottom" textRotation="0" wrapText="false" indent="0" shrinkToFit="false"/>
      <protection locked="true" hidden="false"/>
    </xf>
    <xf numFmtId="168" fontId="15" fillId="3"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19" borderId="0" xfId="0" applyFont="true" applyBorder="false" applyAlignment="true" applyProtection="false">
      <alignment horizontal="general" vertical="bottom" textRotation="0" wrapText="false" indent="0" shrinkToFit="false"/>
      <protection locked="true" hidden="false"/>
    </xf>
    <xf numFmtId="164" fontId="15" fillId="19" borderId="0" xfId="0" applyFont="true" applyBorder="false" applyAlignment="true" applyProtection="false">
      <alignment horizontal="center" vertical="bottom" textRotation="0" wrapText="false" indent="0" shrinkToFit="false"/>
      <protection locked="true" hidden="false"/>
    </xf>
    <xf numFmtId="164" fontId="46" fillId="19" borderId="0" xfId="0" applyFont="true" applyBorder="false" applyAlignment="true" applyProtection="false">
      <alignment horizontal="center" vertical="bottom" textRotation="0" wrapText="false" indent="0" shrinkToFit="false"/>
      <protection locked="true" hidden="false"/>
    </xf>
    <xf numFmtId="164" fontId="19" fillId="19" borderId="0" xfId="0" applyFont="true" applyBorder="false" applyAlignment="true" applyProtection="false">
      <alignment horizontal="center" vertical="bottom" textRotation="0" wrapText="false" indent="0" shrinkToFit="false"/>
      <protection locked="true" hidden="false"/>
    </xf>
    <xf numFmtId="177" fontId="46" fillId="19" borderId="0" xfId="0" applyFont="true" applyBorder="false" applyAlignment="true" applyProtection="false">
      <alignment horizontal="center" vertical="bottom" textRotation="0" wrapText="false" indent="0" shrinkToFit="false"/>
      <protection locked="true" hidden="false"/>
    </xf>
    <xf numFmtId="169" fontId="15" fillId="19" borderId="0" xfId="0" applyFont="true" applyBorder="false" applyAlignment="true" applyProtection="false">
      <alignment horizontal="center" vertical="bottom" textRotation="0" wrapText="false" indent="0" shrinkToFit="false"/>
      <protection locked="true" hidden="false"/>
    </xf>
    <xf numFmtId="175" fontId="15" fillId="19" borderId="0" xfId="0" applyFont="true" applyBorder="false" applyAlignment="true" applyProtection="false">
      <alignment horizontal="center" vertical="bottom" textRotation="0" wrapText="false" indent="0" shrinkToFit="false"/>
      <protection locked="true" hidden="false"/>
    </xf>
    <xf numFmtId="168" fontId="45" fillId="19" borderId="0" xfId="0" applyFont="true" applyBorder="false" applyAlignment="true" applyProtection="false">
      <alignment horizontal="center" vertical="bottom" textRotation="0" wrapText="false" indent="0" shrinkToFit="false"/>
      <protection locked="true" hidden="false"/>
    </xf>
    <xf numFmtId="166" fontId="19" fillId="19" borderId="0" xfId="0" applyFont="true" applyBorder="false" applyAlignment="true" applyProtection="false">
      <alignment horizontal="center" vertical="bottom" textRotation="0" wrapText="false" indent="0" shrinkToFit="false"/>
      <protection locked="true" hidden="false"/>
    </xf>
    <xf numFmtId="166" fontId="49" fillId="4" borderId="0" xfId="0" applyFont="true" applyBorder="false" applyAlignment="true" applyProtection="false">
      <alignment horizontal="center" vertical="bottom" textRotation="0" wrapText="false" indent="0" shrinkToFit="false"/>
      <protection locked="true" hidden="false"/>
    </xf>
    <xf numFmtId="172" fontId="45"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52" fillId="3" borderId="0" xfId="0" applyFont="true" applyBorder="false" applyAlignment="true" applyProtection="false">
      <alignment horizontal="center" vertical="bottom" textRotation="0" wrapText="true" indent="0" shrinkToFit="false"/>
      <protection locked="true" hidden="false"/>
    </xf>
    <xf numFmtId="169" fontId="19" fillId="4" borderId="0" xfId="0"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true" applyProtection="false">
      <alignment horizontal="center" vertical="bottom" textRotation="0" wrapText="false" indent="0" shrinkToFit="false"/>
      <protection locked="true" hidden="false"/>
    </xf>
    <xf numFmtId="164" fontId="11" fillId="20" borderId="0" xfId="0" applyFont="true" applyBorder="false" applyAlignment="true" applyProtection="false">
      <alignment horizontal="general" vertical="bottom" textRotation="0" wrapText="false" indent="0" shrinkToFit="false"/>
      <protection locked="true" hidden="false"/>
    </xf>
    <xf numFmtId="165" fontId="11" fillId="20" borderId="0" xfId="0" applyFont="true" applyBorder="false" applyAlignment="true" applyProtection="false">
      <alignment horizontal="right" vertical="bottom" textRotation="0" wrapText="false" indent="0" shrinkToFit="false"/>
      <protection locked="true" hidden="false"/>
    </xf>
    <xf numFmtId="164" fontId="53" fillId="2" borderId="0" xfId="0" applyFont="true" applyBorder="false" applyAlignment="true" applyProtection="false">
      <alignment horizontal="right" vertical="bottom"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5" fontId="13" fillId="3" borderId="0" xfId="0" applyFont="true" applyBorder="false" applyAlignment="true" applyProtection="false">
      <alignment horizontal="right" vertical="bottom" textRotation="0" wrapText="false" indent="0" shrinkToFit="false"/>
      <protection locked="true" hidden="false"/>
    </xf>
    <xf numFmtId="168" fontId="9" fillId="3"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3" fillId="20" borderId="0" xfId="0" applyFont="true" applyBorder="false" applyAlignment="true" applyProtection="false">
      <alignment horizontal="right" vertical="bottom" textRotation="0" wrapText="false" indent="0" shrinkToFit="false"/>
      <protection locked="true" hidden="false"/>
    </xf>
    <xf numFmtId="168" fontId="9" fillId="20" borderId="0" xfId="0" applyFont="true" applyBorder="false" applyAlignment="true" applyProtection="false">
      <alignment horizontal="right" vertical="bottom" textRotation="0" wrapText="false" indent="0" shrinkToFit="false"/>
      <protection locked="true" hidden="false"/>
    </xf>
    <xf numFmtId="165" fontId="54" fillId="20" borderId="0" xfId="0" applyFont="true" applyBorder="false" applyAlignment="true" applyProtection="false">
      <alignment horizontal="right" vertical="bottom" textRotation="0" wrapText="false" indent="0" shrinkToFit="false"/>
      <protection locked="true" hidden="false"/>
    </xf>
    <xf numFmtId="168" fontId="55" fillId="0" borderId="0" xfId="0" applyFont="true" applyBorder="false" applyAlignment="true" applyProtection="false">
      <alignment horizontal="right" vertical="bottom" textRotation="0" wrapText="false" indent="0" shrinkToFit="false"/>
      <protection locked="true" hidden="false"/>
    </xf>
    <xf numFmtId="165" fontId="56" fillId="0" borderId="0" xfId="0" applyFont="true" applyBorder="false" applyAlignment="true" applyProtection="false">
      <alignment horizontal="right" vertical="bottom" textRotation="0" wrapText="true" indent="0" shrinkToFit="false"/>
      <protection locked="true" hidden="false"/>
    </xf>
    <xf numFmtId="168" fontId="56" fillId="0" borderId="0" xfId="0" applyFont="true" applyBorder="false" applyAlignment="true" applyProtection="false">
      <alignment horizontal="right"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78" fontId="12" fillId="0" borderId="0" xfId="0" applyFont="true" applyBorder="false" applyAlignment="true" applyProtection="false">
      <alignment horizontal="right" vertical="bottom" textRotation="0" wrapText="false" indent="0" shrinkToFit="false"/>
      <protection locked="true" hidden="false"/>
    </xf>
    <xf numFmtId="178"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9"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8" fontId="55" fillId="20" borderId="0" xfId="0" applyFont="true" applyBorder="false" applyAlignment="true" applyProtection="false">
      <alignment horizontal="center" vertical="bottom" textRotation="0" wrapText="fals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8" fontId="44" fillId="0" borderId="0" xfId="0" applyFont="true" applyBorder="false" applyAlignment="true" applyProtection="false">
      <alignment horizontal="center" vertical="bottom" textRotation="0" wrapText="false" indent="0" shrinkToFit="false"/>
      <protection locked="true" hidden="false"/>
    </xf>
    <xf numFmtId="168" fontId="16" fillId="0" borderId="0" xfId="0" applyFont="true" applyBorder="false" applyAlignment="true" applyProtection="false">
      <alignment horizontal="center" vertical="bottom" textRotation="0" wrapText="false" indent="0" shrinkToFit="false"/>
      <protection locked="true" hidden="false"/>
    </xf>
    <xf numFmtId="176" fontId="12" fillId="0" borderId="0" xfId="0" applyFont="true" applyBorder="false" applyAlignment="true" applyProtection="false">
      <alignment horizontal="right" vertical="bottom" textRotation="0" wrapText="false" indent="0" shrinkToFit="false"/>
      <protection locked="true" hidden="false"/>
    </xf>
    <xf numFmtId="166" fontId="57" fillId="0" borderId="0" xfId="0" applyFont="true" applyBorder="false" applyAlignment="true" applyProtection="false">
      <alignment horizontal="right" vertical="bottom" textRotation="0" wrapText="false" indent="0" shrinkToFit="false"/>
      <protection locked="true" hidden="false"/>
    </xf>
    <xf numFmtId="168" fontId="58" fillId="0" borderId="0" xfId="0" applyFont="true" applyBorder="false" applyAlignment="true" applyProtection="false">
      <alignment horizontal="right" vertical="bottom" textRotation="0" wrapText="false" indent="0" shrinkToFit="false"/>
      <protection locked="true" hidden="false"/>
    </xf>
    <xf numFmtId="167" fontId="58" fillId="0" borderId="0" xfId="0" applyFont="true" applyBorder="false" applyAlignment="true" applyProtection="false">
      <alignment horizontal="right" vertical="bottom" textRotation="0" wrapText="false" indent="0" shrinkToFit="false"/>
      <protection locked="true" hidden="false"/>
    </xf>
    <xf numFmtId="176" fontId="58" fillId="0" borderId="0" xfId="0" applyFont="true" applyBorder="false" applyAlignment="true" applyProtection="false">
      <alignment horizontal="right" vertical="bottom" textRotation="0" wrapText="false" indent="0" shrinkToFit="false"/>
      <protection locked="true" hidden="false"/>
    </xf>
    <xf numFmtId="177" fontId="58" fillId="0" borderId="0" xfId="0" applyFont="true" applyBorder="false" applyAlignment="true" applyProtection="false">
      <alignment horizontal="right" vertical="bottom" textRotation="0" wrapText="false" indent="0" shrinkToFit="false"/>
      <protection locked="true" hidden="false"/>
    </xf>
    <xf numFmtId="177" fontId="12" fillId="0" borderId="0" xfId="0" applyFont="true" applyBorder="false" applyAlignment="true" applyProtection="false">
      <alignment horizontal="right" vertical="bottom" textRotation="0" wrapText="false" indent="0" shrinkToFit="false"/>
      <protection locked="true" hidden="false"/>
    </xf>
    <xf numFmtId="175" fontId="11" fillId="0" borderId="0" xfId="0" applyFont="true" applyBorder="false" applyAlignment="true" applyProtection="false">
      <alignment horizontal="right" vertical="bottom" textRotation="0" wrapText="false" indent="0" shrinkToFit="false"/>
      <protection locked="true" hidden="false"/>
    </xf>
    <xf numFmtId="175" fontId="12" fillId="0" borderId="0" xfId="0" applyFont="true" applyBorder="false" applyAlignment="true" applyProtection="false">
      <alignment horizontal="right" vertical="bottom" textRotation="0" wrapText="false" indent="0" shrinkToFit="false"/>
      <protection locked="true" hidden="false"/>
    </xf>
    <xf numFmtId="165" fontId="58" fillId="0" borderId="0" xfId="0" applyFont="true" applyBorder="false" applyAlignment="true" applyProtection="false">
      <alignment horizontal="right" vertical="bottom" textRotation="0" wrapText="false" indent="0" shrinkToFit="false"/>
      <protection locked="true" hidden="false"/>
    </xf>
    <xf numFmtId="169" fontId="58"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5" fontId="46" fillId="0" borderId="0" xfId="0" applyFont="true" applyBorder="false" applyAlignment="true" applyProtection="false">
      <alignment horizontal="center" vertical="bottom" textRotation="0" wrapText="false" indent="0" shrinkToFit="false"/>
      <protection locked="true" hidden="false"/>
    </xf>
    <xf numFmtId="166" fontId="58" fillId="0" borderId="0" xfId="0" applyFont="true" applyBorder="fals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29" fillId="17" borderId="0" xfId="0" applyFont="true" applyBorder="false" applyAlignment="true" applyProtection="false">
      <alignment horizontal="general" vertical="bottom" textRotation="0" wrapText="false" indent="0" shrinkToFit="false"/>
      <protection locked="true" hidden="false"/>
    </xf>
    <xf numFmtId="179" fontId="29" fillId="17"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top" textRotation="0" wrapText="tru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53" fillId="2" borderId="0" xfId="0" applyFont="true" applyBorder="false" applyAlignment="true" applyProtection="false">
      <alignment horizontal="center" vertical="bottom" textRotation="0" wrapText="true" indent="0" shrinkToFit="false"/>
      <protection locked="true" hidden="false"/>
    </xf>
    <xf numFmtId="164" fontId="19" fillId="21" borderId="0" xfId="0" applyFont="true" applyBorder="false" applyAlignment="true" applyProtection="false">
      <alignment horizontal="left" vertical="top" textRotation="0" wrapText="true" indent="0" shrinkToFit="false"/>
      <protection locked="true" hidden="false"/>
    </xf>
    <xf numFmtId="180" fontId="15" fillId="21" borderId="0" xfId="0" applyFont="true" applyBorder="false" applyAlignment="true" applyProtection="false">
      <alignment horizontal="center" vertical="bottom" textRotation="0" wrapText="true" indent="0" shrinkToFit="false"/>
      <protection locked="true" hidden="false"/>
    </xf>
    <xf numFmtId="164" fontId="15" fillId="21" borderId="0" xfId="0" applyFont="true" applyBorder="false" applyAlignment="true" applyProtection="false">
      <alignment horizontal="center" vertical="bottom" textRotation="0" wrapText="true" indent="0" shrinkToFit="false"/>
      <protection locked="true" hidden="false"/>
    </xf>
    <xf numFmtId="164" fontId="15" fillId="21" borderId="0" xfId="0" applyFont="true" applyBorder="false" applyAlignment="true" applyProtection="false">
      <alignment horizontal="left" vertical="top" textRotation="0" wrapText="true" indent="0" shrinkToFit="false"/>
      <protection locked="true" hidden="false"/>
    </xf>
    <xf numFmtId="164" fontId="61" fillId="21" borderId="0" xfId="0" applyFont="true" applyBorder="fals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80" fontId="15" fillId="0" borderId="0" xfId="0" applyFont="true" applyBorder="fals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false">
      <alignment horizontal="left" vertical="top" textRotation="0" wrapText="true" indent="0" shrinkToFit="false"/>
      <protection locked="true" hidden="false"/>
    </xf>
    <xf numFmtId="164" fontId="61" fillId="0" borderId="0" xfId="0" applyFont="true" applyBorder="false" applyAlignment="true" applyProtection="false">
      <alignment horizontal="left" vertical="top" textRotation="0" wrapText="true" indent="0" shrinkToFit="false"/>
      <protection locked="true" hidden="false"/>
    </xf>
    <xf numFmtId="164" fontId="62" fillId="21" borderId="0" xfId="0" applyFont="true" applyBorder="false" applyAlignment="true" applyProtection="false">
      <alignment horizontal="left" vertical="top" textRotation="0" wrapText="true" indent="0" shrinkToFit="false"/>
      <protection locked="true" hidden="false"/>
    </xf>
    <xf numFmtId="164" fontId="63" fillId="0" borderId="0" xfId="0" applyFont="true" applyBorder="false" applyAlignment="true" applyProtection="false">
      <alignment horizontal="general" vertical="bottom" textRotation="0" wrapText="true" indent="0" shrinkToFit="false"/>
      <protection locked="true" hidden="false"/>
    </xf>
    <xf numFmtId="164" fontId="29" fillId="9"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71" fontId="0" fillId="0" borderId="3" xfId="0" applyFont="false" applyBorder="true" applyAlignment="true" applyProtection="false">
      <alignment horizontal="general" vertical="bottom" textRotation="0" wrapText="false" indent="0" shrinkToFit="false"/>
      <protection locked="true" hidden="false"/>
    </xf>
    <xf numFmtId="171" fontId="0" fillId="22" borderId="3" xfId="0" applyFont="false" applyBorder="true" applyAlignment="true" applyProtection="false">
      <alignment horizontal="general" vertical="bottom" textRotation="0" wrapText="false" indent="0" shrinkToFit="false"/>
      <protection locked="true" hidden="false"/>
    </xf>
    <xf numFmtId="171" fontId="0" fillId="14" borderId="3" xfId="0" applyFont="false" applyBorder="true" applyAlignment="true" applyProtection="false">
      <alignment horizontal="general" vertical="bottom" textRotation="0" wrapText="false" indent="0" shrinkToFit="false"/>
      <protection locked="true" hidden="false"/>
    </xf>
    <xf numFmtId="171" fontId="0" fillId="23" borderId="3"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BF1DE"/>
      <rgbColor rgb="FFFF00FF"/>
      <rgbColor rgb="FFF5F8FC"/>
      <rgbColor rgb="FF9C0006"/>
      <rgbColor rgb="FF008000"/>
      <rgbColor rgb="FF000080"/>
      <rgbColor rgb="FF9C6500"/>
      <rgbColor rgb="FF800080"/>
      <rgbColor rgb="FF107C41"/>
      <rgbColor rgb="FFBBBBBB"/>
      <rgbColor rgb="FF808080"/>
      <rgbColor rgb="FFD9E1F2"/>
      <rgbColor rgb="FF7030A0"/>
      <rgbColor rgb="FFFFF6D5"/>
      <rgbColor rgb="FFE0F5E0"/>
      <rgbColor rgb="FF660066"/>
      <rgbColor rgb="FFFBE9E7"/>
      <rgbColor rgb="FF0563C1"/>
      <rgbColor rgb="FFCCCCCC"/>
      <rgbColor rgb="FF000080"/>
      <rgbColor rgb="FFFF00FF"/>
      <rgbColor rgb="FFE2EFDA"/>
      <rgbColor rgb="FF00FFFF"/>
      <rgbColor rgb="FF800080"/>
      <rgbColor rgb="FF800000"/>
      <rgbColor rgb="FF008080"/>
      <rgbColor rgb="FF0000FF"/>
      <rgbColor rgb="FF00CCFF"/>
      <rgbColor rgb="FFDCE9FF"/>
      <rgbColor rgb="FFC6EFCE"/>
      <rgbColor rgb="FFFFF2CC"/>
      <rgbColor rgb="FFAABAD7"/>
      <rgbColor rgb="FFFFE0E0"/>
      <rgbColor rgb="FFD9D9D9"/>
      <rgbColor rgb="FFFFC7CE"/>
      <rgbColor rgb="FF4472C4"/>
      <rgbColor rgb="FFEAEEF7"/>
      <rgbColor rgb="FF9BBB59"/>
      <rgbColor rgb="FFFFD966"/>
      <rgbColor rgb="FFFDF3E3"/>
      <rgbColor rgb="FFFF6600"/>
      <rgbColor rgb="FF416A9C"/>
      <rgbColor rgb="FFB3B3B3"/>
      <rgbColor rgb="FF1F3864"/>
      <rgbColor rgb="FF4F81BD"/>
      <rgbColor rgb="FF006100"/>
      <rgbColor rgb="FF2F3640"/>
      <rgbColor rgb="FFB45309"/>
      <rgbColor rgb="FFC0504D"/>
      <rgbColor rgb="FF1F4E78"/>
      <rgbColor rgb="FF333333"/>
    </indexedColors>
  </colors>
</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worksheet" Target="worksheets/sheet1.xml" /><ns0:Relationship Id="rId4" Type="http://schemas.openxmlformats.org/officeDocument/2006/relationships/worksheet" Target="worksheets/sheet2.xml" /><ns0:Relationship Id="rId5" Type="http://schemas.openxmlformats.org/officeDocument/2006/relationships/worksheet" Target="worksheets/sheet3.xml" /><ns0:Relationship Id="rId6" Type="http://schemas.openxmlformats.org/officeDocument/2006/relationships/worksheet" Target="worksheets/sheet4.xml" /><ns0:Relationship Id="rId7" Type="http://schemas.openxmlformats.org/officeDocument/2006/relationships/worksheet" Target="worksheets/sheet5.xml" /><ns0:Relationship Id="rId8" Type="http://schemas.openxmlformats.org/officeDocument/2006/relationships/worksheet" Target="worksheets/sheet6.xml" /><ns0:Relationship Id="rId9" Type="http://schemas.openxmlformats.org/officeDocument/2006/relationships/worksheet" Target="worksheets/sheet7.xml" /><ns0:Relationship Id="rId10" Type="http://schemas.openxmlformats.org/officeDocument/2006/relationships/worksheet" Target="worksheets/sheet8.xml" /><ns0:Relationship Id="rId11" Type="http://schemas.openxmlformats.org/officeDocument/2006/relationships/worksheet" Target="worksheets/sheet9.xml" /><ns0:Relationship Id="rId12" Type="http://schemas.openxmlformats.org/officeDocument/2006/relationships/worksheet" Target="worksheets/sheet10.xml" /><ns0:Relationship Id="rId13" Type="http://schemas.openxmlformats.org/officeDocument/2006/relationships/worksheet" Target="worksheets/sheet11.xml" /><ns0:Relationship Id="rId14" Type="http://schemas.openxmlformats.org/officeDocument/2006/relationships/worksheet" Target="worksheets/sheet12.xml" /><ns0:Relationship Id="rId15" Type="http://schemas.openxmlformats.org/officeDocument/2006/relationships/worksheet" Target="worksheets/sheet13.xml" /><ns0:Relationship Id="rId16" Type="http://schemas.openxmlformats.org/officeDocument/2006/relationships/worksheet" Target="worksheets/sheet14.xml" /><ns0:Relationship Id="rId17" Type="http://schemas.openxmlformats.org/officeDocument/2006/relationships/sharedStrings" Target="sharedStrings.xml" />
<ns0:Relationship Id="rId18" Type="http://schemas.openxmlformats.org/officeDocument/2006/relationships/worksheet" Target="worksheets/sheet15.xml" /></ns0: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uz-Cyrl-UZ" sz="1800" b="1" u="none" strike="noStrike">
                <a:solidFill>
                  <a:srgbClr val="000000"/>
                </a:solidFill>
                <a:uFillTx/>
                <a:latin typeface="Calibri"/>
              </a:rPr>
              <a:t>Картинки — генераций/мес на </a:t>
            </a:r>
            <a:r>
              <a:rPr lang="en-US" sz="1800" b="1" u="none" strike="noStrike">
                <a:solidFill>
                  <a:srgbClr val="000000"/>
                </a:solidFill>
                <a:uFillTx/>
                <a:latin typeface="Calibri"/>
              </a:rPr>
              <a:t>Elite-</a:t>
            </a:r>
            <a:r>
              <a:rPr lang="uz-Cyrl-UZ" sz="1800" b="1" u="none" strike="noStrike">
                <a:solidFill>
                  <a:srgbClr val="000000"/>
                </a:solidFill>
                <a:uFillTx/>
                <a:latin typeface="Calibri"/>
              </a:rPr>
              <a:t>уровне (</a:t>
            </a:r>
            <a:r>
              <a:rPr lang="en-US" sz="1800" b="1" u="none" strike="noStrike">
                <a:solidFill>
                  <a:srgbClr val="000000"/>
                </a:solidFill>
                <a:uFillTx/>
                <a:latin typeface="Calibri"/>
              </a:rPr>
              <a:t>Vertov · Syntx · Higgsfield Plus)</a:t>
            </a:r>
          </a:p>
        </c:rich>
      </c:tx>
      <c:overlay val="0"/>
      <c:spPr>
        <a:noFill/>
        <a:ln w="0">
          <a:noFill/>
        </a:ln>
      </c:spPr>
    </c:title>
    <c:autoTitleDeleted val="0"/>
    <c:plotArea>
      <c:barChart>
        <c:barDir val="col"/>
        <c:grouping val="clustered"/>
        <c:varyColors val="0"/>
        <c:ser>
          <c:idx val="0"/>
          <c:order val="0"/>
          <c:tx>
            <c:strRef>
              <c:f>"Vertov Elite"</c:f>
              <c:strCache>
                <c:ptCount val="1"/>
                <c:pt idx="0">
                  <c:v>Vertov Elite</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Сводная!$B$9:$B$17</c:f>
              <c:strCache>
                <c:ptCount val="9"/>
                <c:pt idx="0">
                  <c:v>nano-banana</c:v>
                </c:pt>
                <c:pt idx="1">
                  <c:v>recraft-v4</c:v>
                </c:pt>
                <c:pt idx="2">
                  <c:v>gpt-image-2</c:v>
                </c:pt>
                <c:pt idx="3">
                  <c:v>recraft-v4-vector</c:v>
                </c:pt>
                <c:pt idx="4">
                  <c:v>nano-banana-2-lite</c:v>
                </c:pt>
                <c:pt idx="5">
                  <c:v>nano-banana-2</c:v>
                </c:pt>
                <c:pt idx="6">
                  <c:v>nano-banana-pro</c:v>
                </c:pt>
                <c:pt idx="7">
                  <c:v>flux-2-pro · 2MP</c:v>
                </c:pt>
                <c:pt idx="8">
                  <c:v>seedream-4-5 · до 4K</c:v>
                </c:pt>
              </c:strCache>
            </c:strRef>
          </c:cat>
          <c:val>
            <c:numRef>
              <c:f>Сводная!$F$9:$F$17</c:f>
              <c:numCache>
                <c:formatCode>#,##0.0</c:formatCode>
                <c:ptCount val="9"/>
                <c:pt idx="0">
                  <c:v>1987.5</c:v>
                </c:pt>
                <c:pt idx="1">
                  <c:v>636</c:v>
                </c:pt>
                <c:pt idx="2">
                  <c:v>1590</c:v>
                </c:pt>
                <c:pt idx="3">
                  <c:v>397.5</c:v>
                </c:pt>
                <c:pt idx="4">
                  <c:v>1987.5</c:v>
                </c:pt>
                <c:pt idx="5">
                  <c:v>935.294117647059</c:v>
                </c:pt>
                <c:pt idx="6">
                  <c:v>512.903225806452</c:v>
                </c:pt>
                <c:pt idx="7">
                  <c:v>318</c:v>
                </c:pt>
                <c:pt idx="8">
                  <c:v>1060</c:v>
                </c:pt>
              </c:numCache>
            </c:numRef>
          </c:val>
        </c:ser>
        <c:ser>
          <c:idx val="1"/>
          <c:order val="1"/>
          <c:tx>
            <c:strRef>
              <c:f>"Syntx Elite"</c:f>
              <c:strCache>
                <c:ptCount val="1"/>
                <c:pt idx="0">
                  <c:v>Syntx Elite</c:v>
                </c:pt>
              </c:strCache>
            </c:strRef>
          </c:tx>
          <c:spPr>
            <a:solidFill>
              <a:srgbClr val="C0504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Сводная!$B$9:$B$17</c:f>
              <c:strCache>
                <c:ptCount val="9"/>
                <c:pt idx="0">
                  <c:v>nano-banana</c:v>
                </c:pt>
                <c:pt idx="1">
                  <c:v>recraft-v4</c:v>
                </c:pt>
                <c:pt idx="2">
                  <c:v>gpt-image-2</c:v>
                </c:pt>
                <c:pt idx="3">
                  <c:v>recraft-v4-vector</c:v>
                </c:pt>
                <c:pt idx="4">
                  <c:v>nano-banana-2-lite</c:v>
                </c:pt>
                <c:pt idx="5">
                  <c:v>nano-banana-2</c:v>
                </c:pt>
                <c:pt idx="6">
                  <c:v>nano-banana-pro</c:v>
                </c:pt>
                <c:pt idx="7">
                  <c:v>flux-2-pro · 2MP</c:v>
                </c:pt>
                <c:pt idx="8">
                  <c:v>seedream-4-5 · до 4K</c:v>
                </c:pt>
              </c:strCache>
            </c:strRef>
          </c:cat>
          <c:val>
            <c:numRef>
              <c:f>Сводная!$F$33:$F$41</c:f>
              <c:numCache>
                <c:formatCode>\$#,##0</c:formatCode>
                <c:ptCount val="9"/>
                <c:pt idx="1">
                  <c:v>70.4705882352941</c:v>
                </c:pt>
                <c:pt idx="2">
                  <c:v>5990</c:v>
                </c:pt>
                <c:pt idx="4">
                  <c:v>1733.33333333333</c:v>
                </c:pt>
                <c:pt idx="6">
                  <c:v>1300</c:v>
                </c:pt>
                <c:pt idx="8">
                  <c:v>2000</c:v>
                </c:pt>
              </c:numCache>
            </c:numRef>
          </c:val>
        </c:ser>
        <c:ser>
          <c:idx val="2"/>
          <c:order val="2"/>
          <c:tx>
            <c:strRef>
              <c:f>"Higgsfield Plus"</c:f>
              <c:strCache>
                <c:ptCount val="1"/>
                <c:pt idx="0">
                  <c:v>Higgsfield Plus</c:v>
                </c:pt>
              </c:strCache>
            </c:strRef>
          </c:tx>
          <c:spPr>
            <a:solidFill>
              <a:srgbClr val="9BBB59"/>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Сводная!$B$9:$B$17</c:f>
              <c:strCache>
                <c:ptCount val="9"/>
                <c:pt idx="0">
                  <c:v>nano-banana</c:v>
                </c:pt>
                <c:pt idx="1">
                  <c:v>recraft-v4</c:v>
                </c:pt>
                <c:pt idx="2">
                  <c:v>gpt-image-2</c:v>
                </c:pt>
                <c:pt idx="3">
                  <c:v>recraft-v4-vector</c:v>
                </c:pt>
                <c:pt idx="4">
                  <c:v>nano-banana-2-lite</c:v>
                </c:pt>
                <c:pt idx="5">
                  <c:v>nano-banana-2</c:v>
                </c:pt>
                <c:pt idx="6">
                  <c:v>nano-banana-pro</c:v>
                </c:pt>
                <c:pt idx="7">
                  <c:v>flux-2-pro · 2MP</c:v>
                </c:pt>
                <c:pt idx="8">
                  <c:v>seedream-4-5 · до 4K</c:v>
                </c:pt>
              </c:strCache>
            </c:strRef>
          </c:cat>
          <c:val>
            <c:numRef>
              <c:f>Сводная!$D$57:$D$65</c:f>
              <c:numCache>
                <c:formatCode>#,##0.0</c:formatCode>
                <c:ptCount val="9"/>
                <c:pt idx="0">
                  <c:v>27.42</c:v>
                </c:pt>
                <c:pt idx="1">
                  <c:v>228.5</c:v>
                </c:pt>
                <c:pt idx="2">
                  <c:v>342.75</c:v>
                </c:pt>
                <c:pt idx="5">
                  <c:v>59</c:v>
                </c:pt>
                <c:pt idx="6">
                  <c:v>5265.75</c:v>
                </c:pt>
                <c:pt idx="8">
                  <c:v>1200</c:v>
                </c:pt>
              </c:numCache>
            </c:numRef>
          </c:val>
        </c:ser>
        <c:gapWidth val="150"/>
        <c:overlap val="0"/>
        <c:axId val="5793260"/>
        <c:axId val="26575305"/>
      </c:barChart>
      <c:catAx>
        <c:axId val="579326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6575305"/>
        <c:crosses val="autoZero"/>
        <c:auto val="1"/>
        <c:lblAlgn val="ctr"/>
        <c:lblOffset val="100"/>
        <c:noMultiLvlLbl val="0"/>
      </c:catAx>
      <c:valAx>
        <c:axId val="2657530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uz-Cyrl-UZ" sz="1000" b="1" u="none" strike="noStrike">
                    <a:solidFill>
                      <a:srgbClr val="000000"/>
                    </a:solidFill>
                    <a:uFillTx/>
                    <a:latin typeface="Calibri"/>
                  </a:rPr>
                  <a:t>генераций/мес</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79326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uz-Cyrl-UZ" sz="1800" b="1" u="none" strike="noStrike">
                <a:solidFill>
                  <a:srgbClr val="000000"/>
                </a:solidFill>
                <a:uFillTx/>
                <a:latin typeface="Calibri"/>
              </a:rPr>
              <a:t>Видео — генераций/мес на </a:t>
            </a:r>
            <a:r>
              <a:rPr lang="en-US" sz="1800" b="1" u="none" strike="noStrike">
                <a:solidFill>
                  <a:srgbClr val="000000"/>
                </a:solidFill>
                <a:uFillTx/>
                <a:latin typeface="Calibri"/>
              </a:rPr>
              <a:t>Ultra-</a:t>
            </a:r>
            <a:r>
              <a:rPr lang="uz-Cyrl-UZ" sz="1800" b="1" u="none" strike="noStrike">
                <a:solidFill>
                  <a:srgbClr val="000000"/>
                </a:solidFill>
                <a:uFillTx/>
                <a:latin typeface="Calibri"/>
              </a:rPr>
              <a:t>уровне (</a:t>
            </a:r>
            <a:r>
              <a:rPr lang="en-US" sz="1800" b="1" u="none" strike="noStrike">
                <a:solidFill>
                  <a:srgbClr val="000000"/>
                </a:solidFill>
                <a:uFillTx/>
                <a:latin typeface="Calibri"/>
              </a:rPr>
              <a:t>Vertov · Syntx · Higgsfield)</a:t>
            </a:r>
          </a:p>
        </c:rich>
      </c:tx>
      <c:overlay val="0"/>
      <c:spPr>
        <a:noFill/>
        <a:ln w="0">
          <a:noFill/>
        </a:ln>
      </c:spPr>
    </c:title>
    <c:autoTitleDeleted val="0"/>
    <c:plotArea>
      <c:barChart>
        <c:barDir val="col"/>
        <c:grouping val="clustered"/>
        <c:varyColors val="0"/>
        <c:ser>
          <c:idx val="0"/>
          <c:order val="0"/>
          <c:tx>
            <c:strRef>
              <c:f>"Vertov Ultra"</c:f>
              <c:strCache>
                <c:ptCount val="1"/>
                <c:pt idx="0">
                  <c:v>Vertov Ultra</c:v>
                </c:pt>
              </c:strCache>
            </c:strRef>
          </c:tx>
          <c:spPr>
            <a:solidFill>
              <a:srgbClr val="416A9C"/>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Сводная!$B$18:$B$27</c:f>
              <c:strCache>
                <c:ptCount val="10"/>
                <c:pt idx="0">
                  <c:v>happyhorse-1-0</c:v>
                </c:pt>
                <c:pt idx="1">
                  <c:v>happyhorse-1-1</c:v>
                </c:pt>
                <c:pt idx="2">
                  <c:v>veo-3-1 Quality · 720p</c:v>
                </c:pt>
                <c:pt idx="3">
                  <c:v>veo-3-1-fast · 720p</c:v>
                </c:pt>
                <c:pt idx="4">
                  <c:v>veo-3-1-lite · 720p</c:v>
                </c:pt>
                <c:pt idx="5">
                  <c:v/>
                </c:pt>
                <c:pt idx="6">
                  <c:v>grok-imagine · 720p · Kie</c:v>
                </c:pt>
                <c:pt idx="7">
                  <c:v>gemini-omni-flash · 720p</c:v>
                </c:pt>
                <c:pt idx="8">
                  <c:v>seedance-2-0 · 1080p · OpenRouter</c:v>
                </c:pt>
                <c:pt idx="9">
                  <c:v>seedance-2-0-fast · 720p</c:v>
                </c:pt>
              </c:strCache>
            </c:strRef>
          </c:cat>
          <c:val>
            <c:numRef>
              <c:f>Сводная!$G$18:$G$27</c:f>
              <c:numCache>
                <c:formatCode>#,##0.0</c:formatCode>
                <c:ptCount val="10"/>
                <c:pt idx="0">
                  <c:v>140.086206896552</c:v>
                </c:pt>
                <c:pt idx="1">
                  <c:v>140.086206896552</c:v>
                </c:pt>
                <c:pt idx="2">
                  <c:v>0</c:v>
                </c:pt>
                <c:pt idx="3">
                  <c:v>0</c:v>
                </c:pt>
                <c:pt idx="4">
                  <c:v>0</c:v>
                </c:pt>
                <c:pt idx="6">
                  <c:v>722.222222222222</c:v>
                </c:pt>
                <c:pt idx="7">
                  <c:v>115.248226950355</c:v>
                </c:pt>
                <c:pt idx="8">
                  <c:v>50.6230529595016</c:v>
                </c:pt>
                <c:pt idx="9">
                  <c:v>156.25</c:v>
                </c:pt>
              </c:numCache>
            </c:numRef>
          </c:val>
        </c:ser>
        <c:ser>
          <c:idx val="1"/>
          <c:order val="1"/>
          <c:tx>
            <c:strRef>
              <c:f>"Syntx Ultra El."</c:f>
              <c:strCache>
                <c:ptCount val="1"/>
                <c:pt idx="0">
                  <c:v>Syntx Ultra El.</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Сводная!$B$18:$B$27</c:f>
              <c:strCache>
                <c:ptCount val="10"/>
                <c:pt idx="0">
                  <c:v>happyhorse-1-0</c:v>
                </c:pt>
                <c:pt idx="1">
                  <c:v>happyhorse-1-1</c:v>
                </c:pt>
                <c:pt idx="2">
                  <c:v>veo-3-1 Quality · 720p</c:v>
                </c:pt>
                <c:pt idx="3">
                  <c:v>veo-3-1-fast · 720p</c:v>
                </c:pt>
                <c:pt idx="4">
                  <c:v>veo-3-1-lite · 720p</c:v>
                </c:pt>
                <c:pt idx="5">
                  <c:v/>
                </c:pt>
                <c:pt idx="6">
                  <c:v>grok-imagine · 720p · Kie</c:v>
                </c:pt>
                <c:pt idx="7">
                  <c:v>gemini-omni-flash · 720p</c:v>
                </c:pt>
                <c:pt idx="8">
                  <c:v>seedance-2-0 · 1080p · OpenRouter</c:v>
                </c:pt>
                <c:pt idx="9">
                  <c:v>seedance-2-0-fast · 720p</c:v>
                </c:pt>
              </c:strCache>
            </c:strRef>
          </c:cat>
          <c:val>
            <c:numRef>
              <c:f>Сводная!$G$42:$G$51</c:f>
              <c:numCache>
                <c:formatCode>#,##0.0</c:formatCode>
                <c:ptCount val="10"/>
                <c:pt idx="0">
                  <c:v>1000</c:v>
                </c:pt>
                <c:pt idx="1">
                  <c:v>1500</c:v>
                </c:pt>
                <c:pt idx="3">
                  <c:v>1500</c:v>
                </c:pt>
                <c:pt idx="4">
                  <c:v>66.6666666666667</c:v>
                </c:pt>
                <c:pt idx="5">
                  <c:v>66.6666666666667</c:v>
                </c:pt>
                <c:pt idx="6">
                  <c:v>0</c:v>
                </c:pt>
                <c:pt idx="7">
                  <c:v>0</c:v>
                </c:pt>
                <c:pt idx="8">
                  <c:v>0</c:v>
                </c:pt>
              </c:numCache>
            </c:numRef>
          </c:val>
        </c:ser>
        <c:ser>
          <c:idx val="2"/>
          <c:order val="2"/>
          <c:tx>
            <c:strRef>
              <c:f>"Higgsfield Ultra"</c:f>
              <c:strCache>
                <c:ptCount val="1"/>
                <c:pt idx="0">
                  <c:v>Higgsfield Ultra</c:v>
                </c:pt>
              </c:strCache>
            </c:strRef>
          </c:tx>
          <c:spPr>
            <a:solidFill>
              <a:srgbClr val="AABAD7"/>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Сводная!$B$18:$B$27</c:f>
              <c:strCache>
                <c:ptCount val="10"/>
                <c:pt idx="0">
                  <c:v>happyhorse-1-0</c:v>
                </c:pt>
                <c:pt idx="1">
                  <c:v>happyhorse-1-1</c:v>
                </c:pt>
                <c:pt idx="2">
                  <c:v>veo-3-1 Quality · 720p</c:v>
                </c:pt>
                <c:pt idx="3">
                  <c:v>veo-3-1-fast · 720p</c:v>
                </c:pt>
                <c:pt idx="4">
                  <c:v>veo-3-1-lite · 720p</c:v>
                </c:pt>
                <c:pt idx="5">
                  <c:v/>
                </c:pt>
                <c:pt idx="6">
                  <c:v>grok-imagine · 720p · Kie</c:v>
                </c:pt>
                <c:pt idx="7">
                  <c:v>gemini-omni-flash · 720p</c:v>
                </c:pt>
                <c:pt idx="8">
                  <c:v>seedance-2-0 · 1080p · OpenRouter</c:v>
                </c:pt>
                <c:pt idx="9">
                  <c:v>seedance-2-0-fast · 720p</c:v>
                </c:pt>
              </c:strCache>
            </c:strRef>
          </c:cat>
          <c:val>
            <c:numRef>
              <c:f>Сводная!$E$66:$E$75</c:f>
              <c:numCache>
                <c:formatCode>#,##0.0</c:formatCode>
                <c:ptCount val="10"/>
                <c:pt idx="0">
                  <c:v>2400</c:v>
                </c:pt>
                <c:pt idx="1">
                  <c:v>1500</c:v>
                </c:pt>
                <c:pt idx="2">
                  <c:v>1200</c:v>
                </c:pt>
                <c:pt idx="3">
                  <c:v>3000</c:v>
                </c:pt>
                <c:pt idx="4">
                  <c:v>1500</c:v>
                </c:pt>
                <c:pt idx="5">
                  <c:v>1500</c:v>
                </c:pt>
                <c:pt idx="6">
                  <c:v>2000</c:v>
                </c:pt>
                <c:pt idx="7">
                  <c:v>3000</c:v>
                </c:pt>
                <c:pt idx="8">
                  <c:v>133.333333333333</c:v>
                </c:pt>
                <c:pt idx="9">
                  <c:v>133.333333333333</c:v>
                </c:pt>
              </c:numCache>
            </c:numRef>
          </c:val>
        </c:ser>
        <c:gapWidth val="150"/>
        <c:overlap val="0"/>
        <c:axId val="68644639"/>
        <c:axId val="31426978"/>
      </c:barChart>
      <c:catAx>
        <c:axId val="6864463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426978"/>
        <c:crosses val="autoZero"/>
        <c:auto val="1"/>
        <c:lblAlgn val="ctr"/>
        <c:lblOffset val="100"/>
        <c:noMultiLvlLbl val="0"/>
      </c:catAx>
      <c:valAx>
        <c:axId val="3142697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uz-Cyrl-UZ" sz="1000" b="1" u="none" strike="noStrike">
                    <a:solidFill>
                      <a:srgbClr val="000000"/>
                    </a:solidFill>
                    <a:uFillTx/>
                    <a:latin typeface="Calibri"/>
                  </a:rPr>
                  <a:t>генераций/мес</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864463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24</xdr:col>
      <xdr:colOff>255600</xdr:colOff>
      <xdr:row>22</xdr:row>
      <xdr:rowOff>130680</xdr:rowOff>
    </xdr:to>
    <xdr:graphicFrame>
      <xdr:nvGraphicFramePr>
        <xdr:cNvPr id="1" name="Chart 1"/>
        <xdr:cNvGraphicFramePr/>
      </xdr:nvGraphicFramePr>
      <xdr:xfrm>
        <a:off x="6670080" y="771480"/>
        <a:ext cx="9988920" cy="3559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25</xdr:row>
      <xdr:rowOff>0</xdr:rowOff>
    </xdr:from>
    <xdr:to>
      <xdr:col>24</xdr:col>
      <xdr:colOff>255600</xdr:colOff>
      <xdr:row>43</xdr:row>
      <xdr:rowOff>130680</xdr:rowOff>
    </xdr:to>
    <xdr:graphicFrame>
      <xdr:nvGraphicFramePr>
        <xdr:cNvPr id="2" name="Chart 2"/>
        <xdr:cNvGraphicFramePr/>
      </xdr:nvGraphicFramePr>
      <xdr:xfrm>
        <a:off x="6670080" y="4772160"/>
        <a:ext cx="9988920" cy="3549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7" min="3" style="1" width="16"/>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5"/>
      <c r="D5" s="5"/>
      <c r="E5" s="5"/>
      <c r="F5" s="5"/>
      <c r="G5" s="5"/>
    </row>
    <row r="6" customFormat="false" ht="25.5" hidden="false" customHeight="true" outlineLevel="0" collapsed="false">
      <c r="B6" s="6" t="s">
        <v>3</v>
      </c>
      <c r="C6" s="7" t="s">
        <v>4</v>
      </c>
      <c r="D6" s="7"/>
      <c r="E6" s="7"/>
      <c r="F6" s="7"/>
      <c r="G6" s="7"/>
    </row>
    <row r="7" customFormat="false" ht="25.5" hidden="false" customHeight="true" outlineLevel="0" collapsed="false">
      <c r="B7" s="6" t="s">
        <v>5</v>
      </c>
      <c r="C7" s="7" t="s">
        <v>6</v>
      </c>
      <c r="D7" s="7"/>
      <c r="E7" s="7"/>
      <c r="F7" s="7"/>
      <c r="G7" s="7"/>
    </row>
    <row r="8" customFormat="false" ht="25.5" hidden="false" customHeight="true" outlineLevel="0" collapsed="false">
      <c r="B8" s="6" t="s">
        <v>7</v>
      </c>
      <c r="C8" s="7" t="s">
        <v>8</v>
      </c>
      <c r="D8" s="7"/>
      <c r="E8" s="7"/>
      <c r="F8" s="7"/>
      <c r="G8" s="7"/>
    </row>
    <row r="9" customFormat="false" ht="25.5" hidden="false" customHeight="true" outlineLevel="0" collapsed="false">
      <c r="B9" s="6" t="s">
        <v>9</v>
      </c>
      <c r="C9" s="7" t="s">
        <v>10</v>
      </c>
      <c r="D9" s="7"/>
      <c r="E9" s="7"/>
      <c r="F9" s="7"/>
      <c r="G9" s="7"/>
    </row>
    <row r="11" customFormat="false" ht="15" hidden="false" customHeight="true" outlineLevel="0" collapsed="false">
      <c r="B11" s="4" t="s">
        <v>11</v>
      </c>
      <c r="C11" s="5"/>
      <c r="D11" s="5"/>
      <c r="E11" s="5"/>
      <c r="F11" s="5"/>
      <c r="G11" s="5"/>
    </row>
    <row r="12" customFormat="false" ht="25.5" hidden="false" customHeight="true" outlineLevel="0" collapsed="false">
      <c r="B12" s="6" t="s">
        <v>12</v>
      </c>
      <c r="C12" s="7" t="s">
        <v>13</v>
      </c>
      <c r="D12" s="7"/>
      <c r="E12" s="7"/>
      <c r="F12" s="7"/>
      <c r="G12" s="7"/>
    </row>
    <row r="13" customFormat="false" ht="25.5" hidden="false" customHeight="true" outlineLevel="0" collapsed="false">
      <c r="B13" s="6" t="s">
        <v>14</v>
      </c>
      <c r="C13" s="7" t="s">
        <v>15</v>
      </c>
      <c r="D13" s="7"/>
      <c r="E13" s="7"/>
      <c r="F13" s="7"/>
      <c r="G13" s="7"/>
    </row>
    <row r="14" customFormat="false" ht="25.5" hidden="false" customHeight="true" outlineLevel="0" collapsed="false">
      <c r="B14" s="6" t="s">
        <v>16</v>
      </c>
      <c r="C14" s="7" t="s">
        <v>17</v>
      </c>
      <c r="D14" s="7"/>
      <c r="E14" s="7"/>
      <c r="F14" s="7"/>
      <c r="G14" s="7"/>
    </row>
    <row r="15" customFormat="false" ht="25.5" hidden="false" customHeight="true" outlineLevel="0" collapsed="false">
      <c r="B15" s="6" t="s">
        <v>18</v>
      </c>
      <c r="C15" s="7" t="s">
        <v>19</v>
      </c>
      <c r="D15" s="7"/>
      <c r="E15" s="7"/>
      <c r="F15" s="7"/>
      <c r="G15" s="7"/>
    </row>
    <row r="16" customFormat="false" ht="25.5" hidden="false" customHeight="true" outlineLevel="0" collapsed="false">
      <c r="B16" s="6" t="s">
        <v>20</v>
      </c>
      <c r="C16" s="7" t="s">
        <v>21</v>
      </c>
      <c r="D16" s="7"/>
      <c r="E16" s="7"/>
      <c r="F16" s="7"/>
      <c r="G16" s="7"/>
    </row>
    <row r="18" customFormat="false" ht="15" hidden="false" customHeight="true" outlineLevel="0" collapsed="false">
      <c r="B18" s="4" t="s">
        <v>22</v>
      </c>
      <c r="C18" s="5"/>
      <c r="D18" s="5"/>
      <c r="E18" s="5"/>
      <c r="F18" s="5"/>
      <c r="G18" s="5"/>
    </row>
    <row r="19" customFormat="false" ht="25.5" hidden="false" customHeight="true" outlineLevel="0" collapsed="false">
      <c r="B19" s="6" t="s">
        <v>23</v>
      </c>
      <c r="C19" s="7" t="s">
        <v>24</v>
      </c>
      <c r="D19" s="7"/>
      <c r="E19" s="7"/>
      <c r="F19" s="7"/>
      <c r="G19" s="7"/>
    </row>
    <row r="20" customFormat="false" ht="25.5" hidden="false" customHeight="true" outlineLevel="0" collapsed="false">
      <c r="B20" s="6" t="s">
        <v>25</v>
      </c>
      <c r="C20" s="7" t="s">
        <v>26</v>
      </c>
      <c r="D20" s="7"/>
      <c r="E20" s="7"/>
      <c r="F20" s="7"/>
      <c r="G20" s="7"/>
    </row>
    <row r="21" customFormat="false" ht="25.5" hidden="false" customHeight="true" outlineLevel="0" collapsed="false">
      <c r="B21" s="6" t="s">
        <v>27</v>
      </c>
      <c r="C21" s="7" t="s">
        <v>28</v>
      </c>
      <c r="D21" s="7"/>
      <c r="E21" s="7"/>
      <c r="F21" s="7"/>
      <c r="G21" s="7"/>
    </row>
    <row r="22" customFormat="false" ht="25.5" hidden="false" customHeight="true" outlineLevel="0" collapsed="false">
      <c r="B22" s="6" t="s">
        <v>29</v>
      </c>
      <c r="C22" s="7" t="s">
        <v>30</v>
      </c>
      <c r="D22" s="7"/>
      <c r="E22" s="7"/>
      <c r="F22" s="7"/>
      <c r="G22" s="7"/>
    </row>
    <row r="23" customFormat="false" ht="25.5" hidden="false" customHeight="true" outlineLevel="0" collapsed="false">
      <c r="B23" s="6" t="s">
        <v>31</v>
      </c>
      <c r="C23" s="7" t="s">
        <v>32</v>
      </c>
      <c r="D23" s="7"/>
      <c r="E23" s="7"/>
      <c r="F23" s="7"/>
      <c r="G23" s="7"/>
    </row>
    <row r="24" customFormat="false" ht="25.5" hidden="false" customHeight="true" outlineLevel="0" collapsed="false">
      <c r="B24" s="6" t="s">
        <v>33</v>
      </c>
      <c r="C24" s="7" t="s">
        <v>34</v>
      </c>
      <c r="D24" s="7"/>
      <c r="E24" s="7"/>
      <c r="F24" s="7"/>
      <c r="G24" s="7"/>
    </row>
    <row r="25" customFormat="false" ht="25.5" hidden="false" customHeight="true" outlineLevel="0" collapsed="false">
      <c r="B25" s="6" t="s">
        <v>35</v>
      </c>
      <c r="C25" s="7" t="s">
        <v>36</v>
      </c>
      <c r="D25" s="7"/>
      <c r="E25" s="7"/>
      <c r="F25" s="7"/>
      <c r="G25" s="7"/>
    </row>
    <row r="26" customFormat="false" ht="25.5" hidden="false" customHeight="true" outlineLevel="0" collapsed="false">
      <c r="B26" s="6" t="s">
        <v>37</v>
      </c>
      <c r="C26" s="7" t="s">
        <v>38</v>
      </c>
      <c r="D26" s="7"/>
      <c r="E26" s="7"/>
      <c r="F26" s="7"/>
      <c r="G26" s="7"/>
    </row>
    <row r="27" customFormat="false" ht="25.5" hidden="false" customHeight="true" outlineLevel="0" collapsed="false">
      <c r="B27" s="6" t="s">
        <v>39</v>
      </c>
      <c r="C27" s="7" t="s">
        <v>40</v>
      </c>
      <c r="D27" s="7"/>
      <c r="E27" s="7"/>
      <c r="F27" s="7"/>
      <c r="G27" s="7"/>
    </row>
    <row r="29" customFormat="false" ht="15" hidden="false" customHeight="true" outlineLevel="0" collapsed="false">
      <c r="B29" s="8" t="s">
        <v>41</v>
      </c>
    </row>
  </sheetData>
  <mergeCells count="18">
    <mergeCell ref="C6:G6"/>
    <mergeCell ref="C7:G7"/>
    <mergeCell ref="C8:G8"/>
    <mergeCell ref="C9:G9"/>
    <mergeCell ref="C12:G12"/>
    <mergeCell ref="C13:G13"/>
    <mergeCell ref="C14:G14"/>
    <mergeCell ref="C15:G15"/>
    <mergeCell ref="C16:G16"/>
    <mergeCell ref="C19:G19"/>
    <mergeCell ref="C20:G20"/>
    <mergeCell ref="C21:G21"/>
    <mergeCell ref="C22:G22"/>
    <mergeCell ref="C23:G23"/>
    <mergeCell ref="C24:G24"/>
    <mergeCell ref="C25:G25"/>
    <mergeCell ref="C26:G26"/>
    <mergeCell ref="C27:G27"/>
  </mergeCells>
  <hyperlinks>
    <hyperlink ref="B6" location="'Технический'!B4" display="ШАГ 1 · Задай цели прибыли"/>
    <hyperlink ref="B7" location="'Тарифы'!B18" display="ШАГ 2 · Задай размер тарифов"/>
    <hyperlink ref="B8" location="'Тарифы'!B49" display="ШАГ 3 · Заполни каталог моделей"/>
    <hyperlink ref="B9" location="'P&amp;L'!B51" display="ШАГ 4 · Проверь прибыль"/>
    <hyperlink ref="B12" location="'Экзекьютив'!B2" display="Экзекьютив"/>
    <hyperlink ref="B13" location="'Тарифы'!B2" display="Тарифы"/>
    <hyperlink ref="B14" location="'Юнит-экономика'!B2" display="Юнит-экономика"/>
    <hyperlink ref="B15" location="'P&amp;L'!B2" display="P&amp;L"/>
    <hyperlink ref="B16" location="'Технический'!B2" display="Технический"/>
    <hyperlink ref="B19" location="'Технический'!B4" display="Хочу другую маржу / другие цены"/>
    <hyperlink ref="B20" location="'Тарифы'!B11" display="Хочу дать больше/меньше генераций"/>
    <hyperlink ref="B21" location="'Технический'!B20" display="Сменить банк перевода (A7 ↔ ВТБ)"/>
    <hyperlink ref="B22" location="'Технический'!B38" display="Изменить долю резервного провайдера Nano"/>
    <hyperlink ref="B23" location="'Технический'!B53" display="Доля оплат СБП / карты"/>
    <hyperlink ref="B24" location="'Технический'!B64" display="УСН 6% ↔ 15%"/>
    <hyperlink ref="B25" location="'Технический'!B73" display="Хостинг: грант / self-host / managed"/>
    <hyperlink ref="B26" location="'Технический'!B80" display="Число клиентов, отток, стоимость привлечения"/>
    <hyperlink ref="B27" location="'Технический'!B96" display="Цены докупки кредитов"/>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22"/>
    <col collapsed="false" customWidth="true" hidden="false" outlineLevel="0" max="4" min="4" style="1" width="13"/>
    <col collapsed="false" customWidth="true" hidden="false" outlineLevel="0" max="5" min="5" style="1" width="14"/>
    <col collapsed="false" customWidth="true" hidden="false" outlineLevel="0" max="6" min="6" style="1" width="11"/>
    <col collapsed="false" customWidth="true" hidden="false" outlineLevel="0" max="7" min="7" style="1" width="16"/>
  </cols>
  <sheetData>
    <row r="2" customFormat="false" ht="19.5" hidden="false" customHeight="true" outlineLevel="0" collapsed="false">
      <c r="B2" s="2" t="s">
        <v>42</v>
      </c>
    </row>
    <row r="3" customFormat="false" ht="15" hidden="false" customHeight="true" outlineLevel="0" collapsed="false">
      <c r="B3" s="8" t="s">
        <v>43</v>
      </c>
    </row>
    <row r="5" customFormat="false" ht="15" hidden="false" customHeight="true" outlineLevel="0" collapsed="false">
      <c r="B5" s="4" t="s">
        <v>44</v>
      </c>
      <c r="C5" s="5"/>
      <c r="D5" s="5"/>
      <c r="E5" s="5"/>
      <c r="F5" s="5"/>
      <c r="G5" s="5"/>
    </row>
    <row r="6" customFormat="false" ht="15" hidden="false" customHeight="true" outlineLevel="0" collapsed="false">
      <c r="B6" s="9" t="s">
        <v>45</v>
      </c>
      <c r="C6" s="9" t="s">
        <v>46</v>
      </c>
      <c r="D6" s="9" t="s">
        <v>47</v>
      </c>
      <c r="E6" s="9" t="s">
        <v>48</v>
      </c>
      <c r="F6" s="9" t="s">
        <v>49</v>
      </c>
      <c r="G6" s="9" t="s">
        <v>50</v>
      </c>
    </row>
    <row r="7" customFormat="false" ht="15" hidden="false" customHeight="true" outlineLevel="0" collapsed="false">
      <c r="B7" s="10" t="s">
        <v>51</v>
      </c>
      <c r="C7" s="11" t="n">
        <f aca="false">Тарифы!C7</f>
        <v>599</v>
      </c>
      <c r="D7" s="12" t="n">
        <f aca="false">Тарифы!C11</f>
        <v>5.51643192488263</v>
      </c>
      <c r="E7" s="13" t="n">
        <f aca="false">Тарифы!C15</f>
        <v>37.9032258064516</v>
      </c>
      <c r="F7" s="11" t="n">
        <f aca="false">Тарифы!C17</f>
        <v>108.584680851064</v>
      </c>
      <c r="G7" s="14" t="n">
        <f aca="false">Тарифы!C8</f>
        <v>0.323074214772938</v>
      </c>
    </row>
    <row r="8" customFormat="false" ht="15" hidden="false" customHeight="true" outlineLevel="0" collapsed="false">
      <c r="B8" s="10" t="s">
        <v>52</v>
      </c>
      <c r="C8" s="11" t="n">
        <f aca="false">Тарифы!D7</f>
        <v>1649</v>
      </c>
      <c r="D8" s="12" t="n">
        <f aca="false">Тарифы!D11</f>
        <v>20.6572769953052</v>
      </c>
      <c r="E8" s="13" t="n">
        <f aca="false">Тарифы!D15</f>
        <v>141.935483870968</v>
      </c>
      <c r="F8" s="11" t="n">
        <f aca="false">Тарифы!D17</f>
        <v>79.8265909090909</v>
      </c>
      <c r="G8" s="14" t="n">
        <f aca="false">Тарифы!D8</f>
        <v>0.113161171415586</v>
      </c>
    </row>
    <row r="9" customFormat="false" ht="15" hidden="false" customHeight="true" outlineLevel="0" collapsed="false">
      <c r="B9" s="10" t="s">
        <v>53</v>
      </c>
      <c r="C9" s="11" t="n">
        <f aca="false">Тарифы!E7</f>
        <v>3799</v>
      </c>
      <c r="D9" s="12" t="n">
        <f aca="false">Тарифы!E11</f>
        <v>48.3568075117371</v>
      </c>
      <c r="E9" s="13" t="n">
        <f aca="false">Тарифы!E15</f>
        <v>332.258064516129</v>
      </c>
      <c r="F9" s="11" t="n">
        <f aca="false">Тарифы!E17</f>
        <v>78.5618446601942</v>
      </c>
      <c r="G9" s="14" t="n">
        <f aca="false">Тарифы!E8</f>
        <v>0.100401494600392</v>
      </c>
    </row>
    <row r="10" customFormat="false" ht="15" hidden="false" customHeight="true" outlineLevel="0" collapsed="false">
      <c r="B10" s="10" t="s">
        <v>54</v>
      </c>
      <c r="C10" s="11" t="n">
        <f aca="false">Тарифы!F7</f>
        <v>5799</v>
      </c>
      <c r="D10" s="12" t="n">
        <f aca="false">Тарифы!F11</f>
        <v>74.6478873239437</v>
      </c>
      <c r="E10" s="13" t="n">
        <f aca="false">Тарифы!F15</f>
        <v>512.903225806452</v>
      </c>
      <c r="F10" s="11" t="n">
        <f aca="false">Тарифы!F17</f>
        <v>77.6847169811321</v>
      </c>
      <c r="G10" s="14" t="n">
        <f aca="false">Тарифы!F8</f>
        <v>0.0913084130673938</v>
      </c>
    </row>
    <row r="11" customFormat="false" ht="15" hidden="false" customHeight="true" outlineLevel="0" collapsed="false">
      <c r="B11" s="10" t="s">
        <v>55</v>
      </c>
      <c r="C11" s="15" t="n">
        <f aca="false">Тарифы!G7</f>
        <v>11699</v>
      </c>
      <c r="D11" s="16" t="n">
        <f aca="false">Тарифы!G11</f>
        <v>152.582159624413</v>
      </c>
      <c r="E11" s="17" t="n">
        <f aca="false">Тарифы!G15</f>
        <v>1048.38709677419</v>
      </c>
      <c r="F11" s="15" t="n">
        <f aca="false">Тарифы!G17</f>
        <v>76.6734461538462</v>
      </c>
      <c r="G11" s="18" t="n">
        <f aca="false">Тарифы!G8</f>
        <v>0.0805664801204803</v>
      </c>
    </row>
    <row r="12" customFormat="false" ht="15" hidden="false" customHeight="true" outlineLevel="0" collapsed="false">
      <c r="B12" s="4" t="s">
        <v>56</v>
      </c>
      <c r="C12" s="5"/>
      <c r="D12" s="5"/>
      <c r="E12" s="5"/>
      <c r="F12" s="5"/>
      <c r="G12" s="5"/>
    </row>
    <row r="13" customFormat="false" ht="15" hidden="false" customHeight="true" outlineLevel="0" collapsed="false">
      <c r="B13" s="19" t="s">
        <v>57</v>
      </c>
      <c r="C13" s="20" t="n">
        <f aca="false">'Юнит-экономика'!I18</f>
        <v>125.798711065574</v>
      </c>
    </row>
    <row r="14" customFormat="false" ht="15" hidden="false" customHeight="true" outlineLevel="0" collapsed="false">
      <c r="B14" s="19" t="s">
        <v>58</v>
      </c>
      <c r="C14" s="20" t="n">
        <f aca="false">'Юнит-экономика'!I13</f>
        <v>9.05750719672131</v>
      </c>
    </row>
    <row r="15" customFormat="false" ht="15" hidden="false" customHeight="true" outlineLevel="0" collapsed="false">
      <c r="B15" s="19" t="s">
        <v>59</v>
      </c>
      <c r="C15" s="21" t="str">
        <f aca="false">TEXT(Тарифы!C17,"0")&amp;"–"&amp;TEXT(Тарифы!F17,"0")&amp;" ₽"</f>
        <v>109–78 ₽</v>
      </c>
    </row>
    <row r="16" customFormat="false" ht="15" hidden="false" customHeight="true" outlineLevel="0" collapsed="false">
      <c r="B16" s="19" t="s">
        <v>60</v>
      </c>
      <c r="C16" s="22" t="n">
        <f aca="false">'Юнит-экономика'!H20</f>
        <v>2.29918032786885</v>
      </c>
    </row>
    <row r="18" customFormat="false" ht="15" hidden="false" customHeight="true" outlineLevel="0" collapsed="false">
      <c r="B18" s="4" t="s">
        <v>61</v>
      </c>
      <c r="C18" s="5"/>
      <c r="D18" s="5"/>
      <c r="E18" s="5"/>
      <c r="F18" s="5"/>
      <c r="G18" s="5"/>
    </row>
    <row r="19" customFormat="false" ht="15" hidden="false" customHeight="true" outlineLevel="0" collapsed="false">
      <c r="B19" s="19" t="s">
        <v>62</v>
      </c>
      <c r="C19" s="23" t="n">
        <f aca="false">'P&amp;L'!C8</f>
        <v>2352000</v>
      </c>
    </row>
    <row r="20" customFormat="false" ht="15" hidden="false" customHeight="true" outlineLevel="0" collapsed="false">
      <c r="B20" s="19" t="s">
        <v>63</v>
      </c>
      <c r="C20" s="24" t="n">
        <f aca="false">'P&amp;L'!C16</f>
        <v>1443226.65</v>
      </c>
    </row>
    <row r="21" customFormat="false" ht="15" hidden="false" customHeight="true" outlineLevel="0" collapsed="false">
      <c r="B21" s="10" t="s">
        <v>64</v>
      </c>
      <c r="C21" s="25" t="n">
        <f aca="false">'P&amp;L'!C32</f>
        <v>924550.65</v>
      </c>
    </row>
    <row r="22" customFormat="false" ht="15" hidden="false" customHeight="true" outlineLevel="0" collapsed="false">
      <c r="B22" s="19" t="s">
        <v>65</v>
      </c>
      <c r="C22" s="26" t="n">
        <f aca="false">'P&amp;L'!C35</f>
        <v>0.393091262755102</v>
      </c>
    </row>
    <row r="23" customFormat="false" ht="15" hidden="false" customHeight="true" outlineLevel="0" collapsed="false">
      <c r="B23" s="19" t="s">
        <v>66</v>
      </c>
      <c r="C23" s="26" t="n">
        <f aca="false">'P&amp;L'!E44</f>
        <v>0.00290003306796809</v>
      </c>
    </row>
    <row r="25" customFormat="false" ht="15" hidden="false" customHeight="true" outlineLevel="0" collapsed="false">
      <c r="B25" s="4" t="s">
        <v>67</v>
      </c>
      <c r="C25" s="5"/>
      <c r="D25" s="5"/>
      <c r="E25" s="5"/>
      <c r="F25" s="5"/>
      <c r="G25" s="5"/>
    </row>
    <row r="26" customFormat="false" ht="15" hidden="false" customHeight="true" outlineLevel="0" collapsed="false">
      <c r="B26" s="19" t="s">
        <v>68</v>
      </c>
      <c r="C26" s="27" t="str">
        <f aca="false">IF(Технический!C20=1,"A7 · 0,37%","ВТБ · 8,22%")</f>
        <v>A7 · 0,37%</v>
      </c>
    </row>
    <row r="27" customFormat="false" ht="15" hidden="false" customHeight="true" outlineLevel="0" collapsed="false">
      <c r="B27" s="19" t="s">
        <v>69</v>
      </c>
      <c r="C27" s="27" t="str">
        <f aca="false">IF(Технический!C64=1,"Доходы 6% (взносы в зачёт)","Д−Р 15%")</f>
        <v>Доходы 6% (взносы в зачёт)</v>
      </c>
    </row>
    <row r="28" customFormat="false" ht="15" hidden="false" customHeight="true" outlineLevel="0" collapsed="false">
      <c r="B28" s="19" t="s">
        <v>70</v>
      </c>
      <c r="C28" s="27" t="str">
        <f aca="false">CHOOSE(Технический!C73,"Грант (0 ₽)","Self-host 18k","Managed 52k")</f>
        <v>Managed 52k</v>
      </c>
    </row>
    <row r="29" customFormat="false" ht="15" hidden="false" customHeight="true" outlineLevel="0" collapsed="false">
      <c r="B29" s="19" t="s">
        <v>71</v>
      </c>
      <c r="C29" s="27" t="str">
        <f aca="false">TEXT(Технический!C53,"0%")&amp;" / "&amp;TEXT(Технический!C38,"0%")</f>
        <v>55% / 10%</v>
      </c>
    </row>
    <row r="30" customFormat="false" ht="15" hidden="false" customHeight="true" outlineLevel="0" collapsed="false">
      <c r="B30" s="19" t="s">
        <v>72</v>
      </c>
      <c r="C30" s="27" t="str">
        <f aca="false">TEXT(Технический!C17,"0.0")&amp;" ₽/$ / "&amp;TEXT(Технический!C87,"0%")</f>
        <v>85.0 ₽/$ / 66%</v>
      </c>
    </row>
    <row r="32" customFormat="false" ht="15" hidden="false" customHeight="true" outlineLevel="0" collapsed="false">
      <c r="B32" s="4" t="s">
        <v>73</v>
      </c>
      <c r="C32" s="5"/>
      <c r="D32" s="5"/>
      <c r="E32" s="5"/>
      <c r="F32" s="5"/>
    </row>
    <row r="33" customFormat="false" ht="15" hidden="false" customHeight="true" outlineLevel="0" collapsed="false">
      <c r="B33" s="9" t="s">
        <v>74</v>
      </c>
      <c r="C33" s="9" t="s">
        <v>51</v>
      </c>
      <c r="D33" s="9" t="s">
        <v>52</v>
      </c>
      <c r="E33" s="9" t="s">
        <v>53</v>
      </c>
      <c r="F33" s="9" t="s">
        <v>54</v>
      </c>
      <c r="G33" s="9" t="s">
        <v>55</v>
      </c>
    </row>
    <row r="34" customFormat="false" ht="15" hidden="false" customHeight="true" outlineLevel="0" collapsed="false">
      <c r="B34" s="28" t="str">
        <f aca="false">Тарифы!$B$54</f>
        <v>nano-banana</v>
      </c>
      <c r="C34" s="29" t="n">
        <f aca="false">Тарифы!$M$54</f>
        <v>146.875</v>
      </c>
      <c r="D34" s="29" t="n">
        <f aca="false">Тарифы!$N$54</f>
        <v>550</v>
      </c>
      <c r="E34" s="29" t="n">
        <f aca="false">Тарифы!$O$54</f>
        <v>1287.5</v>
      </c>
      <c r="F34" s="29" t="n">
        <f aca="false">Тарифы!$P$54</f>
        <v>1987.5</v>
      </c>
      <c r="G34" s="29" t="n">
        <f aca="false">Тарифы!$Q$54</f>
        <v>4062.5</v>
      </c>
    </row>
    <row r="35" customFormat="false" ht="15" hidden="false" customHeight="true" outlineLevel="0" collapsed="false">
      <c r="B35" s="28" t="str">
        <f aca="false">Тарифы!$B$55</f>
        <v>recraft-v4</v>
      </c>
      <c r="C35" s="29" t="n">
        <f aca="false">Тарифы!$M$55</f>
        <v>47</v>
      </c>
      <c r="D35" s="29" t="n">
        <f aca="false">Тарифы!$N$55</f>
        <v>176</v>
      </c>
      <c r="E35" s="29" t="n">
        <f aca="false">Тарифы!$O$55</f>
        <v>412</v>
      </c>
      <c r="F35" s="29" t="n">
        <f aca="false">Тарифы!$P$55</f>
        <v>636</v>
      </c>
      <c r="G35" s="29" t="n">
        <f aca="false">Тарифы!$Q$55</f>
        <v>1300</v>
      </c>
    </row>
    <row r="36" customFormat="false" ht="15" hidden="false" customHeight="true" outlineLevel="0" collapsed="false">
      <c r="B36" s="28" t="str">
        <f aca="false">Тарифы!$B$56</f>
        <v>gpt-image-2</v>
      </c>
      <c r="C36" s="29" t="n">
        <f aca="false">Тарифы!$M$56</f>
        <v>117.5</v>
      </c>
      <c r="D36" s="29" t="n">
        <f aca="false">Тарифы!$N$56</f>
        <v>440</v>
      </c>
      <c r="E36" s="29" t="n">
        <f aca="false">Тарифы!$O$56</f>
        <v>1030</v>
      </c>
      <c r="F36" s="29" t="n">
        <f aca="false">Тарифы!$P$56</f>
        <v>1590</v>
      </c>
      <c r="G36" s="29" t="n">
        <f aca="false">Тарифы!$Q$56</f>
        <v>3250</v>
      </c>
    </row>
    <row r="37" customFormat="false" ht="15" hidden="false" customHeight="true" outlineLevel="0" collapsed="false">
      <c r="B37" s="28" t="str">
        <f aca="false">Тарифы!$B$57</f>
        <v>recraft-v4-vector</v>
      </c>
      <c r="C37" s="29" t="n">
        <f aca="false">Тарифы!$M$57</f>
        <v>29.375</v>
      </c>
      <c r="D37" s="29" t="n">
        <f aca="false">Тарифы!$N$57</f>
        <v>110</v>
      </c>
      <c r="E37" s="29" t="n">
        <f aca="false">Тарифы!$O$57</f>
        <v>257.5</v>
      </c>
      <c r="F37" s="29" t="n">
        <f aca="false">Тарифы!$P$57</f>
        <v>397.5</v>
      </c>
      <c r="G37" s="29" t="n">
        <f aca="false">Тарифы!$Q$57</f>
        <v>812.5</v>
      </c>
    </row>
    <row r="38" customFormat="false" ht="15" hidden="false" customHeight="true" outlineLevel="0" collapsed="false">
      <c r="B38" s="28" t="str">
        <f aca="false">Тарифы!$B$58</f>
        <v>nano-banana-2-lite</v>
      </c>
      <c r="C38" s="29" t="n">
        <f aca="false">Тарифы!$M$58</f>
        <v>146.875</v>
      </c>
      <c r="D38" s="29" t="n">
        <f aca="false">Тарифы!$N$58</f>
        <v>550</v>
      </c>
      <c r="E38" s="29" t="n">
        <f aca="false">Тарифы!$O$58</f>
        <v>1287.5</v>
      </c>
      <c r="F38" s="29" t="n">
        <f aca="false">Тарифы!$P$58</f>
        <v>1987.5</v>
      </c>
      <c r="G38" s="29" t="n">
        <f aca="false">Тарифы!$Q$58</f>
        <v>4062.5</v>
      </c>
    </row>
    <row r="39" customFormat="false" ht="15" hidden="false" customHeight="true" outlineLevel="0" collapsed="false">
      <c r="B39" s="28" t="str">
        <f aca="false">Тарифы!$B$59</f>
        <v>nano-banana-2</v>
      </c>
      <c r="C39" s="29" t="n">
        <f aca="false">Тарифы!$M$59</f>
        <v>69.1176470588235</v>
      </c>
      <c r="D39" s="29" t="n">
        <f aca="false">Тарифы!$N$59</f>
        <v>258.823529411765</v>
      </c>
      <c r="E39" s="29" t="n">
        <f aca="false">Тарифы!$O$59</f>
        <v>605.882352941177</v>
      </c>
      <c r="F39" s="29" t="n">
        <f aca="false">Тарифы!$P$59</f>
        <v>935.294117647059</v>
      </c>
      <c r="G39" s="29" t="n">
        <f aca="false">Тарифы!$Q$59</f>
        <v>1911.76470588235</v>
      </c>
    </row>
    <row r="40" customFormat="false" ht="15" hidden="false" customHeight="true" outlineLevel="0" collapsed="false">
      <c r="B40" s="28" t="str">
        <f aca="false">Тарифы!$B$60</f>
        <v>nano-banana-pro</v>
      </c>
      <c r="C40" s="29" t="n">
        <f aca="false">Тарифы!$M$60</f>
        <v>37.9032258064516</v>
      </c>
      <c r="D40" s="29" t="n">
        <f aca="false">Тарифы!$N$60</f>
        <v>141.935483870968</v>
      </c>
      <c r="E40" s="29" t="n">
        <f aca="false">Тарифы!$O$60</f>
        <v>332.258064516129</v>
      </c>
      <c r="F40" s="29" t="n">
        <f aca="false">Тарифы!$P$60</f>
        <v>512.903225806452</v>
      </c>
      <c r="G40" s="29" t="n">
        <f aca="false">Тарифы!$Q$60</f>
        <v>1048.38709677419</v>
      </c>
    </row>
    <row r="41" customFormat="false" ht="15" hidden="false" customHeight="true" outlineLevel="0" collapsed="false">
      <c r="B41" s="28" t="str">
        <f aca="false">Тарифы!$B$61</f>
        <v>flux-2-pro · 2MP</v>
      </c>
      <c r="C41" s="29" t="n">
        <f aca="false">Тарифы!$M$61</f>
        <v>23.5</v>
      </c>
      <c r="D41" s="29" t="n">
        <f aca="false">Тарифы!$N$61</f>
        <v>88</v>
      </c>
      <c r="E41" s="29" t="n">
        <f aca="false">Тарифы!$O$61</f>
        <v>206</v>
      </c>
      <c r="F41" s="29" t="n">
        <f aca="false">Тарифы!$P$61</f>
        <v>318</v>
      </c>
      <c r="G41" s="29" t="n">
        <f aca="false">Тарифы!$Q$61</f>
        <v>650</v>
      </c>
    </row>
    <row r="42" customFormat="false" ht="15" hidden="false" customHeight="true" outlineLevel="0" collapsed="false">
      <c r="B42" s="28" t="str">
        <f aca="false">Тарифы!$B$62</f>
        <v>seedream-4-5 · до 4K</v>
      </c>
      <c r="C42" s="29" t="n">
        <f aca="false">Тарифы!$M$62</f>
        <v>78.3333333333333</v>
      </c>
      <c r="D42" s="29" t="n">
        <f aca="false">Тарифы!$N$62</f>
        <v>293.333333333333</v>
      </c>
      <c r="E42" s="29" t="n">
        <f aca="false">Тарифы!$O$62</f>
        <v>686.666666666667</v>
      </c>
      <c r="F42" s="29" t="n">
        <f aca="false">Тарифы!$P$62</f>
        <v>1060</v>
      </c>
      <c r="G42" s="29" t="n">
        <f aca="false">Тарифы!$Q$62</f>
        <v>2166.66666666667</v>
      </c>
    </row>
    <row r="43" customFormat="false" ht="15" hidden="false" customHeight="true" outlineLevel="0" collapsed="false">
      <c r="B43" s="28" t="str">
        <f aca="false">Тарифы!$B$64</f>
        <v>happyhorse-1-0</v>
      </c>
      <c r="C43" s="29" t="n">
        <f aca="false">Тарифы!$M$64</f>
        <v>5.06465517241379</v>
      </c>
      <c r="D43" s="29" t="n">
        <f aca="false">Тарифы!$N$64</f>
        <v>18.9655172413793</v>
      </c>
      <c r="E43" s="29" t="n">
        <f aca="false">Тарифы!$O$64</f>
        <v>44.3965517241379</v>
      </c>
      <c r="F43" s="29" t="n">
        <f aca="false">Тарифы!$P$64</f>
        <v>68.5344827586207</v>
      </c>
      <c r="G43" s="29" t="n">
        <f aca="false">Тарифы!$Q$64</f>
        <v>140.086206896552</v>
      </c>
    </row>
    <row r="44" customFormat="false" ht="15" hidden="false" customHeight="true" outlineLevel="0" collapsed="false">
      <c r="B44" s="28" t="str">
        <f aca="false">Тарифы!$B$65</f>
        <v>happyhorse-1-1</v>
      </c>
      <c r="C44" s="29" t="n">
        <f aca="false">Тарифы!$M$65</f>
        <v>5.06465517241379</v>
      </c>
      <c r="D44" s="29" t="n">
        <f aca="false">Тарифы!$N$65</f>
        <v>18.9655172413793</v>
      </c>
      <c r="E44" s="29" t="n">
        <f aca="false">Тарифы!$O$65</f>
        <v>44.3965517241379</v>
      </c>
      <c r="F44" s="29" t="n">
        <f aca="false">Тарифы!$P$65</f>
        <v>68.5344827586207</v>
      </c>
      <c r="G44" s="29" t="n">
        <f aca="false">Тарифы!$Q$65</f>
        <v>140.086206896552</v>
      </c>
    </row>
    <row r="45" customFormat="false" ht="15" hidden="false" customHeight="true" outlineLevel="0" collapsed="false">
      <c r="B45" s="28" t="str">
        <f aca="false">Тарифы!$B$66</f>
        <v>veo-3-1 Quality · 720p</v>
      </c>
      <c r="C45" s="29" t="n">
        <f aca="false">Тарифы!$M$66</f>
        <v>0</v>
      </c>
      <c r="D45" s="29" t="n">
        <f aca="false">Тарифы!$N$66</f>
        <v>0</v>
      </c>
      <c r="E45" s="29" t="n">
        <f aca="false">Тарифы!$O$66</f>
        <v>0</v>
      </c>
      <c r="F45" s="29" t="n">
        <f aca="false">Тарифы!$P$66</f>
        <v>0</v>
      </c>
      <c r="G45" s="29" t="n">
        <f aca="false">Тарифы!$Q$66</f>
        <v>0</v>
      </c>
    </row>
    <row r="46" customFormat="false" ht="15" hidden="false" customHeight="true" outlineLevel="0" collapsed="false">
      <c r="B46" s="28" t="str">
        <f aca="false">Тарифы!$B$67</f>
        <v>veo-3-1-fast · 720p</v>
      </c>
      <c r="C46" s="29" t="n">
        <f aca="false">Тарифы!$M$67</f>
        <v>0</v>
      </c>
      <c r="D46" s="29" t="n">
        <f aca="false">Тарифы!$N$67</f>
        <v>0</v>
      </c>
      <c r="E46" s="29" t="n">
        <f aca="false">Тарифы!$O$67</f>
        <v>0</v>
      </c>
      <c r="F46" s="29" t="n">
        <f aca="false">Тарифы!$P$67</f>
        <v>0</v>
      </c>
      <c r="G46" s="29" t="n">
        <f aca="false">Тарифы!$Q$67</f>
        <v>0</v>
      </c>
    </row>
    <row r="47" customFormat="false" ht="15" hidden="false" customHeight="true" outlineLevel="0" collapsed="false">
      <c r="B47" s="28" t="str">
        <f aca="false">Тарифы!$B$68</f>
        <v>veo-3-1-lite · 720p</v>
      </c>
      <c r="C47" s="29" t="n">
        <f aca="false">Тарифы!$M$68</f>
        <v>0</v>
      </c>
      <c r="D47" s="29" t="n">
        <f aca="false">Тарифы!$N$68</f>
        <v>0</v>
      </c>
      <c r="E47" s="29" t="n">
        <f aca="false">Тарифы!$O$68</f>
        <v>0</v>
      </c>
      <c r="F47" s="29" t="n">
        <f aca="false">Тарифы!$P$68</f>
        <v>0</v>
      </c>
      <c r="G47" s="29" t="n">
        <f aca="false">Тарифы!$Q$68</f>
        <v>0</v>
      </c>
    </row>
    <row r="48" customFormat="false" ht="15" hidden="false" customHeight="true" outlineLevel="0" collapsed="false">
      <c r="B48" s="28"/>
      <c r="C48" s="29"/>
      <c r="D48" s="29"/>
      <c r="E48" s="29"/>
      <c r="F48" s="29"/>
      <c r="G48" s="29"/>
    </row>
    <row r="49" customFormat="false" ht="15" hidden="false" customHeight="true" outlineLevel="0" collapsed="false">
      <c r="B49" s="28" t="str">
        <f aca="false">Тарифы!$B$70</f>
        <v>grok-imagine · 720p · Kie</v>
      </c>
      <c r="C49" s="29" t="n">
        <f aca="false">Тарифы!$M$70</f>
        <v>26.1111111111111</v>
      </c>
      <c r="D49" s="29" t="n">
        <f aca="false">Тарифы!$N$70</f>
        <v>97.7777777777778</v>
      </c>
      <c r="E49" s="29" t="n">
        <f aca="false">Тарифы!$O$70</f>
        <v>228.888888888889</v>
      </c>
      <c r="F49" s="29" t="n">
        <f aca="false">Тарифы!$P$70</f>
        <v>353.333333333333</v>
      </c>
      <c r="G49" s="29" t="n">
        <f aca="false">Тарифы!$Q$70</f>
        <v>722.222222222222</v>
      </c>
    </row>
    <row r="50" customFormat="false" ht="15" hidden="false" customHeight="true" outlineLevel="0" collapsed="false">
      <c r="B50" s="28" t="str">
        <f aca="false">Тарифы!$B$71</f>
        <v>gemini-omni-flash · 720p</v>
      </c>
      <c r="C50" s="29" t="n">
        <f aca="false">Тарифы!$M$71</f>
        <v>4.16666666666667</v>
      </c>
      <c r="D50" s="29" t="n">
        <f aca="false">Тарифы!$N$71</f>
        <v>15.6028368794326</v>
      </c>
      <c r="E50" s="29" t="n">
        <f aca="false">Тарифы!$O$71</f>
        <v>36.5248226950355</v>
      </c>
      <c r="F50" s="29" t="n">
        <f aca="false">Тарифы!$P$71</f>
        <v>56.3829787234043</v>
      </c>
      <c r="G50" s="29" t="n">
        <f aca="false">Тарифы!$Q$71</f>
        <v>115.248226950355</v>
      </c>
    </row>
    <row r="51" customFormat="false" ht="15" hidden="false" customHeight="true" outlineLevel="0" collapsed="false">
      <c r="B51" s="28" t="str">
        <f aca="false">Тарифы!$B$72</f>
        <v>seedance-2-0 · 1080p · OpenRouter</v>
      </c>
      <c r="C51" s="29" t="n">
        <f aca="false">Тарифы!$M$72</f>
        <v>1.83021806853583</v>
      </c>
      <c r="D51" s="29" t="n">
        <f aca="false">Тарифы!$N$72</f>
        <v>6.85358255451713</v>
      </c>
      <c r="E51" s="29" t="n">
        <f aca="false">Тарифы!$O$72</f>
        <v>16.0436137071651</v>
      </c>
      <c r="F51" s="29" t="n">
        <f aca="false">Тарифы!$P$72</f>
        <v>24.7663551401869</v>
      </c>
      <c r="G51" s="29" t="n">
        <f aca="false">Тарифы!$Q$72</f>
        <v>50.6230529595016</v>
      </c>
    </row>
    <row r="52" customFormat="false" ht="15" hidden="false" customHeight="true" outlineLevel="0" collapsed="false">
      <c r="B52" s="28" t="str">
        <f aca="false">Тарифы!$B$73</f>
        <v>seedance-2-0-fast · 720p</v>
      </c>
      <c r="C52" s="29" t="n">
        <f aca="false">Тарифы!$M$73</f>
        <v>5.64903846153846</v>
      </c>
      <c r="D52" s="29" t="n">
        <f aca="false">Тарифы!$N$73</f>
        <v>21.1538461538462</v>
      </c>
      <c r="E52" s="29" t="n">
        <f aca="false">Тарифы!$O$73</f>
        <v>49.5192307692308</v>
      </c>
      <c r="F52" s="29" t="n">
        <f aca="false">Тарифы!$P$73</f>
        <v>76.4423076923077</v>
      </c>
      <c r="G52" s="29" t="n">
        <f aca="false">Тарифы!$Q$73</f>
        <v>156.25</v>
      </c>
    </row>
    <row r="53" customFormat="false" ht="15" hidden="false" customHeight="true" outlineLevel="0" collapsed="false">
      <c r="B53" s="28" t="str">
        <f aca="false">Тарифы!$B$74</f>
        <v>wan-2-7 · 720p (kie)</v>
      </c>
      <c r="C53" s="29" t="n">
        <f aca="false">Тарифы!$M$74</f>
        <v>0</v>
      </c>
      <c r="D53" s="29" t="n">
        <f aca="false">Тарифы!$N$74</f>
        <v>0</v>
      </c>
      <c r="E53" s="29" t="n">
        <f aca="false">Тарифы!$O$74</f>
        <v>0</v>
      </c>
      <c r="F53" s="29" t="n">
        <f aca="false">Тарифы!$P$74</f>
        <v>0</v>
      </c>
      <c r="G53" s="29" t="n">
        <f aca="false">Тарифы!$Q$74</f>
        <v>0</v>
      </c>
    </row>
    <row r="54" customFormat="false" ht="14.25" hidden="false" customHeight="true" outlineLevel="0" collapsed="false">
      <c r="B54" s="28" t="str">
        <f aca="false">Тарифы!$B$75</f>
        <v>kling-v3-standard</v>
      </c>
      <c r="C54" s="29" t="n">
        <f aca="false">Тарифы!$M$75</f>
        <v>3.35714285714286</v>
      </c>
      <c r="D54" s="29" t="n">
        <f aca="false">Тарифы!$N$75</f>
        <v>12.5714285714286</v>
      </c>
      <c r="E54" s="29" t="n">
        <f aca="false">Тарифы!$O$75</f>
        <v>29.4285714285714</v>
      </c>
      <c r="F54" s="29" t="n">
        <f aca="false">Тарифы!$P$75</f>
        <v>45.4285714285714</v>
      </c>
      <c r="G54" s="29" t="n">
        <f aca="false">Тарифы!$Q$75</f>
        <v>92.8571428571429</v>
      </c>
    </row>
    <row r="55" customFormat="false" ht="14.25" hidden="false" customHeight="true" outlineLevel="0" collapsed="false">
      <c r="B55" s="28" t="str">
        <f aca="false">Тарифы!$B$91</f>
        <v>seedream-5-0-pro · 1K</v>
      </c>
      <c r="C55" s="29" t="n">
        <f aca="false">Тарифы!$M$91</f>
        <v>78.3333333333333</v>
      </c>
      <c r="D55" s="29" t="n">
        <f aca="false">Тарифы!$N$91</f>
        <v>293.333333333333</v>
      </c>
      <c r="E55" s="29" t="n">
        <f aca="false">Тарифы!$O$91</f>
        <v>686.666666666667</v>
      </c>
      <c r="F55" s="29" t="n">
        <f aca="false">Тарифы!$P$91</f>
        <v>1060</v>
      </c>
      <c r="G55" s="29" t="n">
        <f aca="false">Тарифы!$Q$91</f>
        <v>2166.66666666667</v>
      </c>
    </row>
    <row r="56" customFormat="false" ht="14.25" hidden="false" customHeight="true" outlineLevel="0" collapsed="false">
      <c r="B56" s="28" t="str">
        <f aca="false">Тарифы!$B$92</f>
        <v>seedream-5-0-lite</v>
      </c>
      <c r="C56" s="29" t="n">
        <f aca="false">Тарифы!$M$92</f>
        <v>117.5</v>
      </c>
      <c r="D56" s="29" t="n">
        <f aca="false">Тарифы!$N$92</f>
        <v>440</v>
      </c>
      <c r="E56" s="29" t="n">
        <f aca="false">Тарифы!$O$92</f>
        <v>1030</v>
      </c>
      <c r="F56" s="29" t="n">
        <f aca="false">Тарифы!$P$92</f>
        <v>1590</v>
      </c>
      <c r="G56" s="29" t="n">
        <f aca="false">Тарифы!$Q$92</f>
        <v>3250</v>
      </c>
    </row>
    <row r="57" customFormat="false" ht="14.25" hidden="false" customHeight="true" outlineLevel="0" collapsed="false">
      <c r="B57" s="30"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7" min="3" style="1" width="10"/>
  </cols>
  <sheetData>
    <row r="2" customFormat="false" ht="17.25" hidden="false" customHeight="true" outlineLevel="0" collapsed="false">
      <c r="B2" s="31" t="s">
        <v>76</v>
      </c>
    </row>
    <row r="3" customFormat="false" ht="15" hidden="false" customHeight="true" outlineLevel="0" collapsed="false">
      <c r="B3" s="8" t="s">
        <v>77</v>
      </c>
    </row>
    <row r="5" customFormat="false" ht="15" hidden="false" customHeight="true" outlineLevel="0" collapsed="false">
      <c r="B5" s="4" t="s">
        <v>78</v>
      </c>
      <c r="C5" s="5"/>
      <c r="D5" s="5"/>
      <c r="E5" s="5"/>
      <c r="F5" s="5"/>
      <c r="G5" s="5"/>
      <c r="H5" s="5"/>
    </row>
    <row r="6" customFormat="false" ht="15" hidden="false" customHeight="true" outlineLevel="0" collapsed="false">
      <c r="B6" s="32" t="s">
        <v>79</v>
      </c>
      <c r="C6" s="33" t="n">
        <f aca="false">Тарифы!C7/Технический!$C$17</f>
        <v>7.04705882352941</v>
      </c>
      <c r="D6" s="33" t="n">
        <f aca="false">Тарифы!D7/Технический!$C$17</f>
        <v>19.4</v>
      </c>
      <c r="E6" s="33" t="n">
        <f aca="false">Тарифы!E7/Технический!$C$17</f>
        <v>44.6941176470588</v>
      </c>
      <c r="F6" s="33" t="n">
        <f aca="false">Тарифы!F7/Технический!$C$17</f>
        <v>68.2235294117647</v>
      </c>
      <c r="G6" s="33" t="n">
        <f aca="false">Тарифы!G7/Технический!$C$17</f>
        <v>137.635294117647</v>
      </c>
    </row>
    <row r="7" customFormat="false" ht="15" hidden="false" customHeight="true" outlineLevel="0" collapsed="false">
      <c r="B7" s="32" t="s">
        <v>80</v>
      </c>
      <c r="C7" s="34" t="n">
        <f aca="false">Тарифы!C7</f>
        <v>599</v>
      </c>
      <c r="D7" s="34" t="n">
        <f aca="false">Тарифы!D7</f>
        <v>1649</v>
      </c>
      <c r="E7" s="34" t="n">
        <f aca="false">Тарифы!E7</f>
        <v>3799</v>
      </c>
      <c r="F7" s="34" t="n">
        <f aca="false">Тарифы!F7</f>
        <v>5799</v>
      </c>
      <c r="G7" s="34" t="n">
        <f aca="false">Тарифы!G7</f>
        <v>11699</v>
      </c>
    </row>
    <row r="8" customFormat="false" ht="15" hidden="false" customHeight="true" outlineLevel="0" collapsed="false">
      <c r="B8" s="35" t="s">
        <v>74</v>
      </c>
      <c r="C8" s="36" t="s">
        <v>51</v>
      </c>
      <c r="D8" s="36" t="s">
        <v>52</v>
      </c>
      <c r="E8" s="36" t="s">
        <v>53</v>
      </c>
      <c r="F8" s="36" t="s">
        <v>54</v>
      </c>
      <c r="G8" s="36" t="s">
        <v>55</v>
      </c>
    </row>
    <row r="9" customFormat="false" ht="15" hidden="false" customHeight="true" outlineLevel="0" collapsed="false">
      <c r="B9" s="28" t="str">
        <f aca="false">Тарифы!$B$54</f>
        <v>nano-banana</v>
      </c>
      <c r="C9" s="37" t="n">
        <f aca="false">Тарифы!$M$54</f>
        <v>146.875</v>
      </c>
      <c r="D9" s="37" t="n">
        <f aca="false">Тарифы!$N$54</f>
        <v>550</v>
      </c>
      <c r="E9" s="37" t="n">
        <f aca="false">Тарифы!$O$54</f>
        <v>1287.5</v>
      </c>
      <c r="F9" s="37" t="n">
        <f aca="false">Тарифы!$P$54</f>
        <v>1987.5</v>
      </c>
      <c r="G9" s="37" t="n">
        <f aca="false">Тарифы!$Q$54</f>
        <v>4062.5</v>
      </c>
    </row>
    <row r="10" customFormat="false" ht="15" hidden="false" customHeight="true" outlineLevel="0" collapsed="false">
      <c r="B10" s="28" t="str">
        <f aca="false">Тарифы!$B$55</f>
        <v>recraft-v4</v>
      </c>
      <c r="C10" s="37" t="n">
        <f aca="false">Тарифы!$M$55</f>
        <v>47</v>
      </c>
      <c r="D10" s="37" t="n">
        <f aca="false">Тарифы!$N$55</f>
        <v>176</v>
      </c>
      <c r="E10" s="37" t="n">
        <f aca="false">Тарифы!$O$55</f>
        <v>412</v>
      </c>
      <c r="F10" s="37" t="n">
        <f aca="false">Тарифы!$P$55</f>
        <v>636</v>
      </c>
      <c r="G10" s="37" t="n">
        <f aca="false">Тарифы!$Q$55</f>
        <v>1300</v>
      </c>
    </row>
    <row r="11" customFormat="false" ht="15" hidden="false" customHeight="true" outlineLevel="0" collapsed="false">
      <c r="B11" s="28" t="str">
        <f aca="false">Тарифы!$B$56</f>
        <v>gpt-image-2</v>
      </c>
      <c r="C11" s="37" t="n">
        <f aca="false">Тарифы!$M$56</f>
        <v>117.5</v>
      </c>
      <c r="D11" s="37" t="n">
        <f aca="false">Тарифы!$N$56</f>
        <v>440</v>
      </c>
      <c r="E11" s="37" t="n">
        <f aca="false">Тарифы!$O$56</f>
        <v>1030</v>
      </c>
      <c r="F11" s="37" t="n">
        <f aca="false">Тарифы!$P$56</f>
        <v>1590</v>
      </c>
      <c r="G11" s="37" t="n">
        <f aca="false">Тарифы!$Q$56</f>
        <v>3250</v>
      </c>
    </row>
    <row r="12" customFormat="false" ht="15" hidden="false" customHeight="true" outlineLevel="0" collapsed="false">
      <c r="B12" s="28" t="str">
        <f aca="false">Тарифы!$B$57</f>
        <v>recraft-v4-vector</v>
      </c>
      <c r="C12" s="37" t="n">
        <f aca="false">Тарифы!$M$57</f>
        <v>29.375</v>
      </c>
      <c r="D12" s="37" t="n">
        <f aca="false">Тарифы!$N$57</f>
        <v>110</v>
      </c>
      <c r="E12" s="37" t="n">
        <f aca="false">Тарифы!$O$57</f>
        <v>257.5</v>
      </c>
      <c r="F12" s="37" t="n">
        <f aca="false">Тарифы!$P$57</f>
        <v>397.5</v>
      </c>
      <c r="G12" s="37" t="n">
        <f aca="false">Тарифы!$Q$57</f>
        <v>812.5</v>
      </c>
    </row>
    <row r="13" customFormat="false" ht="15" hidden="false" customHeight="true" outlineLevel="0" collapsed="false">
      <c r="B13" s="28" t="str">
        <f aca="false">Тарифы!$B$58</f>
        <v>nano-banana-2-lite</v>
      </c>
      <c r="C13" s="37" t="n">
        <f aca="false">Тарифы!$M$58</f>
        <v>146.875</v>
      </c>
      <c r="D13" s="37" t="n">
        <f aca="false">Тарифы!$N$58</f>
        <v>550</v>
      </c>
      <c r="E13" s="37" t="n">
        <f aca="false">Тарифы!$O$58</f>
        <v>1287.5</v>
      </c>
      <c r="F13" s="37" t="n">
        <f aca="false">Тарифы!$P$58</f>
        <v>1987.5</v>
      </c>
      <c r="G13" s="37" t="n">
        <f aca="false">Тарифы!$Q$58</f>
        <v>4062.5</v>
      </c>
    </row>
    <row r="14" customFormat="false" ht="15" hidden="false" customHeight="true" outlineLevel="0" collapsed="false">
      <c r="B14" s="28" t="str">
        <f aca="false">Тарифы!$B$59</f>
        <v>nano-banana-2</v>
      </c>
      <c r="C14" s="37" t="n">
        <f aca="false">Тарифы!$M$59</f>
        <v>69.1176470588235</v>
      </c>
      <c r="D14" s="37" t="n">
        <f aca="false">Тарифы!$N$59</f>
        <v>258.823529411765</v>
      </c>
      <c r="E14" s="37" t="n">
        <f aca="false">Тарифы!$O$59</f>
        <v>605.882352941177</v>
      </c>
      <c r="F14" s="37" t="n">
        <f aca="false">Тарифы!$P$59</f>
        <v>935.294117647059</v>
      </c>
      <c r="G14" s="37" t="n">
        <f aca="false">Тарифы!$Q$59</f>
        <v>1911.76470588235</v>
      </c>
    </row>
    <row r="15" customFormat="false" ht="15" hidden="false" customHeight="true" outlineLevel="0" collapsed="false">
      <c r="B15" s="28" t="str">
        <f aca="false">Тарифы!$B$60</f>
        <v>nano-banana-pro</v>
      </c>
      <c r="C15" s="37" t="n">
        <f aca="false">Тарифы!$M$60</f>
        <v>37.9032258064516</v>
      </c>
      <c r="D15" s="37" t="n">
        <f aca="false">Тарифы!$N$60</f>
        <v>141.935483870968</v>
      </c>
      <c r="E15" s="37" t="n">
        <f aca="false">Тарифы!$O$60</f>
        <v>332.258064516129</v>
      </c>
      <c r="F15" s="37" t="n">
        <f aca="false">Тарифы!$P$60</f>
        <v>512.903225806452</v>
      </c>
      <c r="G15" s="37" t="n">
        <f aca="false">Тарифы!$Q$60</f>
        <v>1048.38709677419</v>
      </c>
    </row>
    <row r="16" customFormat="false" ht="15" hidden="false" customHeight="true" outlineLevel="0" collapsed="false">
      <c r="B16" s="28" t="str">
        <f aca="false">Тарифы!$B$61</f>
        <v>flux-2-pro · 2MP</v>
      </c>
      <c r="C16" s="37" t="n">
        <f aca="false">Тарифы!$M$61</f>
        <v>23.5</v>
      </c>
      <c r="D16" s="37" t="n">
        <f aca="false">Тарифы!$N$61</f>
        <v>88</v>
      </c>
      <c r="E16" s="37" t="n">
        <f aca="false">Тарифы!$O$61</f>
        <v>206</v>
      </c>
      <c r="F16" s="37" t="n">
        <f aca="false">Тарифы!$P$61</f>
        <v>318</v>
      </c>
      <c r="G16" s="37" t="n">
        <f aca="false">Тарифы!$Q$61</f>
        <v>650</v>
      </c>
    </row>
    <row r="17" customFormat="false" ht="15" hidden="false" customHeight="true" outlineLevel="0" collapsed="false">
      <c r="B17" s="28" t="str">
        <f aca="false">Тарифы!$B$62</f>
        <v>seedream-4-5 · до 4K</v>
      </c>
      <c r="C17" s="37" t="n">
        <f aca="false">Тарифы!$M$62</f>
        <v>78.3333333333333</v>
      </c>
      <c r="D17" s="37" t="n">
        <f aca="false">Тарифы!$N$62</f>
        <v>293.333333333333</v>
      </c>
      <c r="E17" s="37" t="n">
        <f aca="false">Тарифы!$O$62</f>
        <v>686.666666666667</v>
      </c>
      <c r="F17" s="37" t="n">
        <f aca="false">Тарифы!$P$62</f>
        <v>1060</v>
      </c>
      <c r="G17" s="37" t="n">
        <f aca="false">Тарифы!$Q$62</f>
        <v>2166.66666666667</v>
      </c>
    </row>
    <row r="18" customFormat="false" ht="15" hidden="false" customHeight="true" outlineLevel="0" collapsed="false">
      <c r="B18" s="28" t="str">
        <f aca="false">Тарифы!$B$64</f>
        <v>happyhorse-1-0</v>
      </c>
      <c r="C18" s="37" t="n">
        <f aca="false">Тарифы!$M$64</f>
        <v>5.06465517241379</v>
      </c>
      <c r="D18" s="37" t="n">
        <f aca="false">Тарифы!$N$64</f>
        <v>18.9655172413793</v>
      </c>
      <c r="E18" s="37" t="n">
        <f aca="false">Тарифы!$O$64</f>
        <v>44.3965517241379</v>
      </c>
      <c r="F18" s="37" t="n">
        <f aca="false">Тарифы!$P$64</f>
        <v>68.5344827586207</v>
      </c>
      <c r="G18" s="37" t="n">
        <f aca="false">Тарифы!$Q$64</f>
        <v>140.086206896552</v>
      </c>
    </row>
    <row r="19" customFormat="false" ht="15" hidden="false" customHeight="true" outlineLevel="0" collapsed="false">
      <c r="B19" s="28" t="str">
        <f aca="false">Тарифы!$B$65</f>
        <v>happyhorse-1-1</v>
      </c>
      <c r="C19" s="37" t="n">
        <f aca="false">Тарифы!$M$65</f>
        <v>5.06465517241379</v>
      </c>
      <c r="D19" s="37" t="n">
        <f aca="false">Тарифы!$N$65</f>
        <v>18.9655172413793</v>
      </c>
      <c r="E19" s="37" t="n">
        <f aca="false">Тарифы!$O$65</f>
        <v>44.3965517241379</v>
      </c>
      <c r="F19" s="37" t="n">
        <f aca="false">Тарифы!$P$65</f>
        <v>68.5344827586207</v>
      </c>
      <c r="G19" s="37" t="n">
        <f aca="false">Тарифы!$Q$65</f>
        <v>140.086206896552</v>
      </c>
    </row>
    <row r="20" customFormat="false" ht="15" hidden="false" customHeight="true" outlineLevel="0" collapsed="false">
      <c r="B20" s="28" t="str">
        <f aca="false">Тарифы!$B$66</f>
        <v>veo-3-1 Quality · 720p</v>
      </c>
      <c r="C20" s="37" t="n">
        <f aca="false">Тарифы!$M$66</f>
        <v>0</v>
      </c>
      <c r="D20" s="37" t="n">
        <f aca="false">Тарифы!$N$66</f>
        <v>0</v>
      </c>
      <c r="E20" s="37" t="n">
        <f aca="false">Тарифы!$O$66</f>
        <v>0</v>
      </c>
      <c r="F20" s="37" t="n">
        <f aca="false">Тарифы!$P$66</f>
        <v>0</v>
      </c>
      <c r="G20" s="37" t="n">
        <f aca="false">Тарифы!$Q$66</f>
        <v>0</v>
      </c>
    </row>
    <row r="21" customFormat="false" ht="15" hidden="false" customHeight="true" outlineLevel="0" collapsed="false">
      <c r="B21" s="28" t="str">
        <f aca="false">Тарифы!$B$67</f>
        <v>veo-3-1-fast · 720p</v>
      </c>
      <c r="C21" s="37" t="n">
        <f aca="false">Тарифы!$M$67</f>
        <v>0</v>
      </c>
      <c r="D21" s="37" t="n">
        <f aca="false">Тарифы!$N$67</f>
        <v>0</v>
      </c>
      <c r="E21" s="37" t="n">
        <f aca="false">Тарифы!$O$67</f>
        <v>0</v>
      </c>
      <c r="F21" s="37" t="n">
        <f aca="false">Тарифы!$P$67</f>
        <v>0</v>
      </c>
      <c r="G21" s="37" t="n">
        <f aca="false">Тарифы!$Q$67</f>
        <v>0</v>
      </c>
    </row>
    <row r="22" customFormat="false" ht="15" hidden="false" customHeight="true" outlineLevel="0" collapsed="false">
      <c r="B22" s="28" t="str">
        <f aca="false">Тарифы!$B$68</f>
        <v>veo-3-1-lite · 720p</v>
      </c>
      <c r="C22" s="37" t="n">
        <f aca="false">Тарифы!$M$68</f>
        <v>0</v>
      </c>
      <c r="D22" s="37" t="n">
        <f aca="false">Тарифы!$N$68</f>
        <v>0</v>
      </c>
      <c r="E22" s="37" t="n">
        <f aca="false">Тарифы!$O$68</f>
        <v>0</v>
      </c>
      <c r="F22" s="37" t="n">
        <f aca="false">Тарифы!$P$68</f>
        <v>0</v>
      </c>
      <c r="G22" s="37" t="n">
        <f aca="false">Тарифы!$Q$68</f>
        <v>0</v>
      </c>
    </row>
    <row r="23" customFormat="false" ht="15" hidden="false" customHeight="true" outlineLevel="0" collapsed="false">
      <c r="B23" s="28"/>
      <c r="C23" s="37"/>
      <c r="D23" s="37"/>
      <c r="E23" s="37"/>
      <c r="F23" s="37"/>
      <c r="G23" s="37"/>
    </row>
    <row r="24" customFormat="false" ht="15" hidden="false" customHeight="true" outlineLevel="0" collapsed="false">
      <c r="B24" s="28" t="str">
        <f aca="false">Тарифы!$B$70</f>
        <v>grok-imagine · 720p · Kie</v>
      </c>
      <c r="C24" s="37" t="n">
        <f aca="false">Тарифы!$M$70</f>
        <v>26.1111111111111</v>
      </c>
      <c r="D24" s="37" t="n">
        <f aca="false">Тарифы!$N$70</f>
        <v>97.7777777777778</v>
      </c>
      <c r="E24" s="37" t="n">
        <f aca="false">Тарифы!$O$70</f>
        <v>228.888888888889</v>
      </c>
      <c r="F24" s="37" t="n">
        <f aca="false">Тарифы!$P$70</f>
        <v>353.333333333333</v>
      </c>
      <c r="G24" s="37" t="n">
        <f aca="false">Тарифы!$Q$70</f>
        <v>722.222222222222</v>
      </c>
    </row>
    <row r="25" customFormat="false" ht="15" hidden="false" customHeight="true" outlineLevel="0" collapsed="false">
      <c r="B25" s="28" t="str">
        <f aca="false">Тарифы!$B$71</f>
        <v>gemini-omni-flash · 720p</v>
      </c>
      <c r="C25" s="37" t="n">
        <f aca="false">Тарифы!$M$71</f>
        <v>4.16666666666667</v>
      </c>
      <c r="D25" s="37" t="n">
        <f aca="false">Тарифы!$N$71</f>
        <v>15.6028368794326</v>
      </c>
      <c r="E25" s="37" t="n">
        <f aca="false">Тарифы!$O$71</f>
        <v>36.5248226950355</v>
      </c>
      <c r="F25" s="37" t="n">
        <f aca="false">Тарифы!$P$71</f>
        <v>56.3829787234043</v>
      </c>
      <c r="G25" s="37" t="n">
        <f aca="false">Тарифы!$Q$71</f>
        <v>115.248226950355</v>
      </c>
    </row>
    <row r="26" customFormat="false" ht="15" hidden="false" customHeight="true" outlineLevel="0" collapsed="false">
      <c r="B26" s="28" t="str">
        <f aca="false">Тарифы!$B$72</f>
        <v>seedance-2-0 · 1080p · OpenRouter</v>
      </c>
      <c r="C26" s="37" t="n">
        <f aca="false">Тарифы!$M$72</f>
        <v>1.83021806853583</v>
      </c>
      <c r="D26" s="37" t="n">
        <f aca="false">Тарифы!$N$72</f>
        <v>6.85358255451713</v>
      </c>
      <c r="E26" s="37" t="n">
        <f aca="false">Тарифы!$O$72</f>
        <v>16.0436137071651</v>
      </c>
      <c r="F26" s="37" t="n">
        <f aca="false">Тарифы!$P$72</f>
        <v>24.7663551401869</v>
      </c>
      <c r="G26" s="37" t="n">
        <f aca="false">Тарифы!$Q$72</f>
        <v>50.6230529595016</v>
      </c>
    </row>
    <row r="27" customFormat="false" ht="15" hidden="false" customHeight="true" outlineLevel="0" collapsed="false">
      <c r="B27" s="28" t="str">
        <f aca="false">Тарифы!$B$73</f>
        <v>seedance-2-0-fast · 720p</v>
      </c>
      <c r="C27" s="37" t="n">
        <f aca="false">Тарифы!$M$73</f>
        <v>5.64903846153846</v>
      </c>
      <c r="D27" s="37" t="n">
        <f aca="false">Тарифы!$N$73</f>
        <v>21.1538461538462</v>
      </c>
      <c r="E27" s="37" t="n">
        <f aca="false">Тарифы!$O$73</f>
        <v>49.5192307692308</v>
      </c>
      <c r="F27" s="37" t="n">
        <f aca="false">Тарифы!$P$73</f>
        <v>76.4423076923077</v>
      </c>
      <c r="G27" s="37" t="n">
        <f aca="false">Тарифы!$Q$73</f>
        <v>156.25</v>
      </c>
    </row>
    <row r="28" customFormat="false" ht="14.25" hidden="false" customHeight="true" outlineLevel="0" collapsed="false">
      <c r="B28" s="28" t="str">
        <f aca="false">Тарифы!$B$74</f>
        <v>wan-2-7 · 720p (kie)</v>
      </c>
      <c r="C28" s="37" t="n">
        <f aca="false">Тарифы!$M$74</f>
        <v>0</v>
      </c>
      <c r="D28" s="37" t="n">
        <f aca="false">Тарифы!$N$74</f>
        <v>0</v>
      </c>
      <c r="E28" s="37" t="n">
        <f aca="false">Тарифы!$O$74</f>
        <v>0</v>
      </c>
      <c r="F28" s="37" t="n">
        <f aca="false">Тарифы!$P$74</f>
        <v>0</v>
      </c>
      <c r="G28" s="37" t="n">
        <f aca="false">Тарифы!$Q$74</f>
        <v>0</v>
      </c>
    </row>
    <row r="29" customFormat="false" ht="15" hidden="false" customHeight="true" outlineLevel="0" collapsed="false">
      <c r="B29" s="28" t="str">
        <f aca="false">Тарифы!$B$75</f>
        <v>kling-v3-standard</v>
      </c>
      <c r="C29" s="37" t="n">
        <f aca="false">Тарифы!$M$75</f>
        <v>3.35714285714286</v>
      </c>
      <c r="D29" s="37" t="n">
        <f aca="false">Тарифы!$N$75</f>
        <v>12.5714285714286</v>
      </c>
      <c r="E29" s="37" t="n">
        <f aca="false">Тарифы!$O$75</f>
        <v>29.4285714285714</v>
      </c>
      <c r="F29" s="37" t="n">
        <f aca="false">Тарифы!$P$75</f>
        <v>45.4285714285714</v>
      </c>
      <c r="G29" s="37" t="n">
        <f aca="false">Тарифы!$Q$75</f>
        <v>92.8571428571429</v>
      </c>
    </row>
    <row r="30" customFormat="false" ht="15" hidden="false" customHeight="true" outlineLevel="0" collapsed="false">
      <c r="B30" s="28" t="str">
        <f aca="false">Тарифы!$B$91</f>
        <v>seedream-5-0-pro · 1K</v>
      </c>
      <c r="C30" s="37" t="n">
        <f aca="false">Тарифы!$M$91</f>
        <v>78.3333333333333</v>
      </c>
      <c r="D30" s="37" t="n">
        <f aca="false">Тарифы!$N$91</f>
        <v>293.333333333333</v>
      </c>
      <c r="E30" s="37" t="n">
        <f aca="false">Тарифы!$O$91</f>
        <v>686.666666666667</v>
      </c>
      <c r="F30" s="37" t="n">
        <f aca="false">Тарифы!$P$91</f>
        <v>1060</v>
      </c>
      <c r="G30" s="37" t="n">
        <f aca="false">Тарифы!$Q$91</f>
        <v>2166.66666666667</v>
      </c>
    </row>
    <row r="31" customFormat="false" ht="15" hidden="false" customHeight="true" outlineLevel="0" collapsed="false">
      <c r="B31" s="28" t="str">
        <f aca="false">Тарифы!$B$92</f>
        <v>seedream-5-0-lite</v>
      </c>
      <c r="C31" s="37" t="n">
        <f aca="false">Тарифы!$M$92</f>
        <v>117.5</v>
      </c>
      <c r="D31" s="37" t="n">
        <f aca="false">Тарифы!$N$92</f>
        <v>440</v>
      </c>
      <c r="E31" s="37" t="n">
        <f aca="false">Тарифы!$O$92</f>
        <v>1030</v>
      </c>
      <c r="F31" s="37" t="n">
        <f aca="false">Тарифы!$P$92</f>
        <v>1590</v>
      </c>
      <c r="G31" s="37" t="n">
        <f aca="false">Тарифы!$Q$92</f>
        <v>3250</v>
      </c>
    </row>
    <row r="32" customFormat="false" ht="15" hidden="false" customHeight="true" outlineLevel="0" collapsed="false"/>
    <row r="33" customFormat="false" ht="15" hidden="false" customHeight="true" outlineLevel="0" collapsed="false">
      <c r="B33" s="4" t="s">
        <v>81</v>
      </c>
      <c r="C33" s="5"/>
      <c r="D33" s="5"/>
      <c r="E33" s="5"/>
      <c r="F33" s="5"/>
      <c r="G33" s="5"/>
      <c r="H33" s="5"/>
    </row>
    <row r="34" customFormat="false" ht="15" hidden="false" customHeight="true" outlineLevel="0" collapsed="false">
      <c r="B34" s="32" t="s">
        <v>79</v>
      </c>
      <c r="C34" s="38" t="n">
        <f aca="false">Технический!C107/Технический!$C$17</f>
        <v>10.4705882352941</v>
      </c>
      <c r="D34" s="38" t="n">
        <f aca="false">Технический!D107/Технический!$C$17</f>
        <v>19.8823529411765</v>
      </c>
      <c r="E34" s="38" t="n">
        <f aca="false">Технический!E107/Технический!$C$17</f>
        <v>46.9411764705882</v>
      </c>
      <c r="F34" s="38" t="n">
        <f aca="false">Технический!F107/Технический!$C$17</f>
        <v>70.4705882352941</v>
      </c>
      <c r="G34" s="38" t="n">
        <f aca="false">Технический!G107/Технический!$C$17</f>
        <v>141.058823529412</v>
      </c>
    </row>
    <row r="35" customFormat="false" ht="15" hidden="false" customHeight="true" outlineLevel="0" collapsed="false">
      <c r="B35" s="32" t="s">
        <v>80</v>
      </c>
      <c r="C35" s="39" t="n">
        <f aca="false">Технический!C107</f>
        <v>890</v>
      </c>
      <c r="D35" s="39" t="n">
        <f aca="false">Технический!D107</f>
        <v>1690</v>
      </c>
      <c r="E35" s="39" t="n">
        <f aca="false">Технический!E107</f>
        <v>3990</v>
      </c>
      <c r="F35" s="39" t="n">
        <f aca="false">Технический!F107</f>
        <v>5990</v>
      </c>
      <c r="G35" s="39" t="n">
        <f aca="false">Технический!G107</f>
        <v>11990</v>
      </c>
    </row>
    <row r="36" customFormat="false" ht="15" hidden="false" customHeight="true" outlineLevel="0" collapsed="false">
      <c r="B36" s="35" t="s">
        <v>74</v>
      </c>
      <c r="C36" s="36" t="s">
        <v>82</v>
      </c>
      <c r="D36" s="36" t="s">
        <v>52</v>
      </c>
      <c r="E36" s="36" t="s">
        <v>83</v>
      </c>
      <c r="F36" s="36" t="s">
        <v>54</v>
      </c>
      <c r="G36" s="36" t="s">
        <v>84</v>
      </c>
    </row>
    <row r="37" customFormat="false" ht="15" hidden="false" customHeight="true" outlineLevel="0" collapsed="false">
      <c r="B37" s="28" t="str">
        <f aca="false">Тарифы!$B$54</f>
        <v>nano-banana</v>
      </c>
      <c r="C37" s="40" t="n">
        <f aca="false">Тарифы!$S$54</f>
        <v>173.333333333333</v>
      </c>
      <c r="D37" s="40" t="n">
        <f aca="false">Тарифы!$T$54</f>
        <v>457</v>
      </c>
      <c r="E37" s="40" t="n">
        <f aca="false">Тарифы!$U$54</f>
        <v>1133.33333333333</v>
      </c>
      <c r="F37" s="40" t="n">
        <f aca="false">Тарифы!$V$54</f>
        <v>1733.33333333333</v>
      </c>
      <c r="G37" s="40" t="n">
        <f aca="false">Тарифы!$W$54</f>
        <v>2000</v>
      </c>
    </row>
    <row r="38" customFormat="false" ht="15" hidden="false" customHeight="true" outlineLevel="0" collapsed="false">
      <c r="B38" s="28" t="str">
        <f aca="false">Тарифы!$B$55</f>
        <v>recraft-v4</v>
      </c>
      <c r="C38" s="40" t="str">
        <f aca="false">Тарифы!$S$55</f>
        <v/>
      </c>
      <c r="D38" s="40" t="str">
        <f aca="false">Тарифы!$T$55</f>
        <v/>
      </c>
      <c r="E38" s="40" t="str">
        <f aca="false">Тарифы!$U$55</f>
        <v/>
      </c>
      <c r="F38" s="40" t="str">
        <f aca="false">Тарифы!$V$55</f>
        <v/>
      </c>
      <c r="G38" s="40" t="str">
        <f aca="false">Тарифы!$W$55</f>
        <v/>
      </c>
    </row>
    <row r="39" customFormat="false" ht="15" hidden="false" customHeight="true" outlineLevel="0" collapsed="false">
      <c r="B39" s="28" t="str">
        <f aca="false">Тарифы!$B$56</f>
        <v>gpt-image-2</v>
      </c>
      <c r="C39" s="40" t="n">
        <f aca="false">Тарифы!$S$56</f>
        <v>130</v>
      </c>
      <c r="D39" s="40" t="n">
        <f aca="false">Тарифы!$T$56</f>
        <v>342.75</v>
      </c>
      <c r="E39" s="40" t="n">
        <f aca="false">Тарифы!$U$56</f>
        <v>850</v>
      </c>
      <c r="F39" s="40" t="n">
        <f aca="false">Тарифы!$V$56</f>
        <v>1300</v>
      </c>
      <c r="G39" s="40" t="n">
        <f aca="false">Тарифы!$W$56</f>
        <v>1500</v>
      </c>
    </row>
    <row r="40" customFormat="false" ht="15" hidden="false" customHeight="true" outlineLevel="0" collapsed="false">
      <c r="B40" s="28" t="str">
        <f aca="false">Тарифы!$B$57</f>
        <v>recraft-v4-vector</v>
      </c>
      <c r="C40" s="40" t="str">
        <f aca="false">Тарифы!$S$57</f>
        <v/>
      </c>
      <c r="D40" s="40" t="str">
        <f aca="false">Тарифы!$T$57</f>
        <v/>
      </c>
      <c r="E40" s="40" t="str">
        <f aca="false">Тарифы!$U$57</f>
        <v/>
      </c>
      <c r="F40" s="40" t="str">
        <f aca="false">Тарифы!$V$57</f>
        <v/>
      </c>
      <c r="G40" s="40" t="str">
        <f aca="false">Тарифы!$W$57</f>
        <v/>
      </c>
    </row>
    <row r="41" customFormat="false" ht="15" hidden="false" customHeight="true" outlineLevel="0" collapsed="false">
      <c r="B41" s="28" t="str">
        <f aca="false">Тарифы!$B$58</f>
        <v>nano-banana-2-lite</v>
      </c>
      <c r="C41" s="40" t="n">
        <f aca="false">Тарифы!$S$58</f>
        <v>200</v>
      </c>
      <c r="D41" s="40" t="n">
        <f aca="false">Тарифы!$T$58</f>
        <v>527.307692307692</v>
      </c>
      <c r="E41" s="40" t="n">
        <f aca="false">Тарифы!$U$58</f>
        <v>1307.69230769231</v>
      </c>
      <c r="F41" s="40" t="n">
        <f aca="false">Тарифы!$V$58</f>
        <v>2000</v>
      </c>
      <c r="G41" s="40" t="n">
        <f aca="false">Тарифы!$W$58</f>
        <v>2307.69230769231</v>
      </c>
    </row>
    <row r="42" customFormat="false" ht="15" hidden="false" customHeight="true" outlineLevel="0" collapsed="false">
      <c r="B42" s="28" t="str">
        <f aca="false">Тарифы!$B$59</f>
        <v>nano-banana-2</v>
      </c>
      <c r="C42" s="40" t="n">
        <f aca="false">Тарифы!$S$59</f>
        <v>86.6666666666667</v>
      </c>
      <c r="D42" s="40" t="n">
        <f aca="false">Тарифы!$T$59</f>
        <v>228.5</v>
      </c>
      <c r="E42" s="40" t="n">
        <f aca="false">Тарифы!$U$59</f>
        <v>566.666666666667</v>
      </c>
      <c r="F42" s="40" t="n">
        <f aca="false">Тарифы!$V$59</f>
        <v>866.666666666667</v>
      </c>
      <c r="G42" s="40" t="n">
        <f aca="false">Тарифы!$W$59</f>
        <v>1000</v>
      </c>
    </row>
    <row r="43" customFormat="false" ht="15" hidden="false" customHeight="true" outlineLevel="0" collapsed="false">
      <c r="B43" s="28" t="str">
        <f aca="false">Тарифы!$B$60</f>
        <v>nano-banana-pro</v>
      </c>
      <c r="C43" s="40" t="n">
        <f aca="false">Тарифы!$S$60</f>
        <v>130</v>
      </c>
      <c r="D43" s="40" t="n">
        <f aca="false">Тарифы!$T$60</f>
        <v>342.75</v>
      </c>
      <c r="E43" s="40" t="n">
        <f aca="false">Тарифы!$U$60</f>
        <v>850</v>
      </c>
      <c r="F43" s="40" t="n">
        <f aca="false">Тарифы!$V$60</f>
        <v>1300</v>
      </c>
      <c r="G43" s="40" t="n">
        <f aca="false">Тарифы!$W$60</f>
        <v>1500</v>
      </c>
    </row>
    <row r="44" customFormat="false" ht="15" hidden="false" customHeight="true" outlineLevel="0" collapsed="false">
      <c r="B44" s="28" t="str">
        <f aca="false">Тарифы!$B$61</f>
        <v>flux-2-pro · 2MP</v>
      </c>
      <c r="C44" s="40" t="str">
        <f aca="false">Тарифы!$S$61</f>
        <v/>
      </c>
      <c r="D44" s="40" t="str">
        <f aca="false">Тарифы!$T$61</f>
        <v/>
      </c>
      <c r="E44" s="40" t="str">
        <f aca="false">Тарифы!$U$61</f>
        <v/>
      </c>
      <c r="F44" s="40" t="str">
        <f aca="false">Тарифы!$V$61</f>
        <v/>
      </c>
      <c r="G44" s="40" t="str">
        <f aca="false">Тарифы!$W$61</f>
        <v/>
      </c>
    </row>
    <row r="45" customFormat="false" ht="15" hidden="false" customHeight="true" outlineLevel="0" collapsed="false">
      <c r="B45" s="28" t="str">
        <f aca="false">Тарифы!$B$62</f>
        <v>seedream-4-5 · до 4K</v>
      </c>
      <c r="C45" s="40" t="n">
        <f aca="false">Тарифы!$S$62</f>
        <v>130</v>
      </c>
      <c r="D45" s="40" t="n">
        <f aca="false">Тарифы!$T$62</f>
        <v>342.75</v>
      </c>
      <c r="E45" s="40" t="n">
        <f aca="false">Тарифы!$U$62</f>
        <v>850</v>
      </c>
      <c r="F45" s="40" t="n">
        <f aca="false">Тарифы!$V$62</f>
        <v>1300</v>
      </c>
      <c r="G45" s="40" t="n">
        <f aca="false">Тарифы!$W$62</f>
        <v>1500</v>
      </c>
    </row>
    <row r="46" customFormat="false" ht="15" hidden="false" customHeight="true" outlineLevel="0" collapsed="false">
      <c r="B46" s="28" t="str">
        <f aca="false">Тарифы!$B$64</f>
        <v>happyhorse-1-0</v>
      </c>
      <c r="C46" s="40" t="n">
        <f aca="false">Тарифы!$S$64</f>
        <v>5.77777777777778</v>
      </c>
      <c r="D46" s="40" t="n">
        <f aca="false">Тарифы!$T$64</f>
        <v>15.2333333333333</v>
      </c>
      <c r="E46" s="40" t="n">
        <f aca="false">Тарифы!$U$64</f>
        <v>37.7777777777778</v>
      </c>
      <c r="F46" s="40" t="n">
        <f aca="false">Тарифы!$V$64</f>
        <v>57.7777777777778</v>
      </c>
      <c r="G46" s="40" t="n">
        <f aca="false">Тарифы!$W$64</f>
        <v>66.6666666666667</v>
      </c>
    </row>
    <row r="47" customFormat="false" ht="15" hidden="false" customHeight="true" outlineLevel="0" collapsed="false">
      <c r="B47" s="28" t="str">
        <f aca="false">Тарифы!$B$65</f>
        <v>happyhorse-1-1</v>
      </c>
      <c r="C47" s="40" t="n">
        <f aca="false">Тарифы!$S$65</f>
        <v>5.77777777777778</v>
      </c>
      <c r="D47" s="40" t="n">
        <f aca="false">Тарифы!$T$65</f>
        <v>15.2333333333333</v>
      </c>
      <c r="E47" s="40" t="n">
        <f aca="false">Тарифы!$U$65</f>
        <v>37.7777777777778</v>
      </c>
      <c r="F47" s="40" t="n">
        <f aca="false">Тарифы!$V$65</f>
        <v>57.7777777777778</v>
      </c>
      <c r="G47" s="40" t="n">
        <f aca="false">Тарифы!$W$65</f>
        <v>66.6666666666667</v>
      </c>
    </row>
    <row r="48" customFormat="false" ht="15" hidden="false" customHeight="true" outlineLevel="0" collapsed="false">
      <c r="B48" s="28" t="str">
        <f aca="false">Тарифы!$B$66</f>
        <v>veo-3-1 Quality · 720p</v>
      </c>
      <c r="C48" s="40" t="n">
        <f aca="false">Тарифы!$S$66</f>
        <v>0</v>
      </c>
      <c r="D48" s="40" t="n">
        <f aca="false">Тарифы!$T$66</f>
        <v>0</v>
      </c>
      <c r="E48" s="40" t="n">
        <f aca="false">Тарифы!$U$66</f>
        <v>0</v>
      </c>
      <c r="F48" s="40" t="n">
        <f aca="false">Тарифы!$V$66</f>
        <v>0</v>
      </c>
      <c r="G48" s="40" t="n">
        <f aca="false">Тарифы!$W$66</f>
        <v>0</v>
      </c>
    </row>
    <row r="49" customFormat="false" ht="15" hidden="false" customHeight="true" outlineLevel="0" collapsed="false">
      <c r="B49" s="28" t="str">
        <f aca="false">Тарифы!$B$67</f>
        <v>veo-3-1-fast · 720p</v>
      </c>
      <c r="C49" s="40" t="n">
        <f aca="false">Тарифы!$S$67</f>
        <v>0</v>
      </c>
      <c r="D49" s="40" t="n">
        <f aca="false">Тарифы!$T$67</f>
        <v>0</v>
      </c>
      <c r="E49" s="40" t="n">
        <f aca="false">Тарифы!$U$67</f>
        <v>0</v>
      </c>
      <c r="F49" s="40" t="n">
        <f aca="false">Тарифы!$V$67</f>
        <v>0</v>
      </c>
      <c r="G49" s="40" t="n">
        <f aca="false">Тарифы!$W$67</f>
        <v>0</v>
      </c>
    </row>
    <row r="50" customFormat="false" ht="15" hidden="false" customHeight="true" outlineLevel="0" collapsed="false">
      <c r="B50" s="28" t="str">
        <f aca="false">Тарифы!$B$68</f>
        <v>veo-3-1-lite · 720p</v>
      </c>
      <c r="C50" s="40" t="n">
        <f aca="false">Тарифы!$S$68</f>
        <v>0</v>
      </c>
      <c r="D50" s="40" t="n">
        <f aca="false">Тарифы!$T$68</f>
        <v>0</v>
      </c>
      <c r="E50" s="40" t="n">
        <f aca="false">Тарифы!$U$68</f>
        <v>0</v>
      </c>
      <c r="F50" s="40" t="n">
        <f aca="false">Тарифы!$V$68</f>
        <v>0</v>
      </c>
      <c r="G50" s="40" t="n">
        <f aca="false">Тарифы!$W$68</f>
        <v>0</v>
      </c>
    </row>
    <row r="51" customFormat="false" ht="15" hidden="false" customHeight="true" outlineLevel="0" collapsed="false">
      <c r="B51" s="28"/>
      <c r="C51" s="40"/>
      <c r="D51" s="40"/>
      <c r="E51" s="40"/>
      <c r="F51" s="40"/>
      <c r="G51" s="40"/>
    </row>
    <row r="52" customFormat="false" ht="14.25" hidden="false" customHeight="true" outlineLevel="0" collapsed="false">
      <c r="B52" s="28" t="str">
        <f aca="false">Тарифы!$B$70</f>
        <v>grok-imagine · 720p · Kie</v>
      </c>
      <c r="C52" s="40" t="n">
        <f aca="false">Тарифы!$S$70</f>
        <v>32.5</v>
      </c>
      <c r="D52" s="40" t="n">
        <f aca="false">Тарифы!$T$70</f>
        <v>85.6875</v>
      </c>
      <c r="E52" s="40" t="n">
        <f aca="false">Тарифы!$U$70</f>
        <v>212.5</v>
      </c>
      <c r="F52" s="40" t="n">
        <f aca="false">Тарифы!$V$70</f>
        <v>325</v>
      </c>
      <c r="G52" s="40" t="n">
        <f aca="false">Тарифы!$W$70</f>
        <v>375</v>
      </c>
    </row>
    <row r="53" customFormat="false" ht="15" hidden="false" customHeight="true" outlineLevel="0" collapsed="false">
      <c r="B53" s="28" t="str">
        <f aca="false">Тарифы!$B$71</f>
        <v>gemini-omni-flash · 720p</v>
      </c>
      <c r="C53" s="40" t="n">
        <f aca="false">Тарифы!$S$71</f>
        <v>9.28571428571429</v>
      </c>
      <c r="D53" s="40" t="n">
        <f aca="false">Тарифы!$T$71</f>
        <v>24.4821428571429</v>
      </c>
      <c r="E53" s="40" t="n">
        <f aca="false">Тарифы!$U$71</f>
        <v>60.7142857142857</v>
      </c>
      <c r="F53" s="40" t="n">
        <f aca="false">Тарифы!$V$71</f>
        <v>92.8571428571429</v>
      </c>
      <c r="G53" s="40" t="n">
        <f aca="false">Тарифы!$W$71</f>
        <v>107.142857142857</v>
      </c>
    </row>
    <row r="54" customFormat="false" ht="15" hidden="false" customHeight="true" outlineLevel="0" collapsed="false">
      <c r="B54" s="28" t="str">
        <f aca="false">Тарифы!$B$72</f>
        <v>seedance-2-0 · 1080p · OpenRouter</v>
      </c>
      <c r="C54" s="40" t="n">
        <f aca="false">Тарифы!$S$72</f>
        <v>2.31522707034728</v>
      </c>
      <c r="D54" s="40" t="n">
        <f aca="false">Тарифы!$T$72</f>
        <v>6.10418521816563</v>
      </c>
      <c r="E54" s="40" t="n">
        <f aca="false">Тарифы!$U$72</f>
        <v>15.1380231522707</v>
      </c>
      <c r="F54" s="40" t="n">
        <f aca="false">Тарифы!$V$72</f>
        <v>23.1522707034728</v>
      </c>
      <c r="G54" s="40" t="n">
        <f aca="false">Тарифы!$W$72</f>
        <v>26.7141585040071</v>
      </c>
    </row>
    <row r="55" customFormat="false" ht="15" hidden="false" customHeight="true" outlineLevel="0" collapsed="false">
      <c r="B55" s="28" t="str">
        <f aca="false">Тарифы!$B$73</f>
        <v>seedance-2-0-fast · 720p</v>
      </c>
      <c r="C55" s="40" t="n">
        <f aca="false">Тарифы!$S$73</f>
        <v>7.16253443526171</v>
      </c>
      <c r="D55" s="40" t="n">
        <f aca="false">Тарифы!$T$73</f>
        <v>18.8842975206612</v>
      </c>
      <c r="E55" s="40" t="n">
        <f aca="false">Тарифы!$U$73</f>
        <v>46.831955922865</v>
      </c>
      <c r="F55" s="40" t="n">
        <f aca="false">Тарифы!$V$73</f>
        <v>71.6253443526171</v>
      </c>
      <c r="G55" s="40" t="n">
        <f aca="false">Тарифы!$W$73</f>
        <v>82.6446280991736</v>
      </c>
    </row>
    <row r="56" customFormat="false" ht="15" hidden="false" customHeight="true" outlineLevel="0" collapsed="false">
      <c r="B56" s="28" t="str">
        <f aca="false">Тарифы!$B$74</f>
        <v>wan-2-7 · 720p (kie)</v>
      </c>
      <c r="C56" s="40" t="n">
        <f aca="false">Тарифы!$S$74</f>
        <v>0</v>
      </c>
      <c r="D56" s="40" t="n">
        <f aca="false">Тарифы!$T$74</f>
        <v>0</v>
      </c>
      <c r="E56" s="40" t="n">
        <f aca="false">Тарифы!$U$74</f>
        <v>0</v>
      </c>
      <c r="F56" s="40" t="n">
        <f aca="false">Тарифы!$V$74</f>
        <v>0</v>
      </c>
      <c r="G56" s="40" t="n">
        <f aca="false">Тарифы!$W$74</f>
        <v>0</v>
      </c>
    </row>
    <row r="57" customFormat="false" ht="15" hidden="false" customHeight="true" outlineLevel="0" collapsed="false">
      <c r="B57" s="28" t="str">
        <f aca="false">Тарифы!$B$75</f>
        <v>kling-v3-standard</v>
      </c>
      <c r="C57" s="40" t="n">
        <f aca="false">Тарифы!$S$75</f>
        <v>10.4</v>
      </c>
      <c r="D57" s="40" t="n">
        <f aca="false">Тарифы!$T$75</f>
        <v>27.42</v>
      </c>
      <c r="E57" s="40" t="n">
        <f aca="false">Тарифы!$U$75</f>
        <v>68</v>
      </c>
      <c r="F57" s="40" t="n">
        <f aca="false">Тарифы!$V$75</f>
        <v>104</v>
      </c>
      <c r="G57" s="40" t="n">
        <f aca="false">Тарифы!$W$75</f>
        <v>120</v>
      </c>
    </row>
    <row r="58" customFormat="false" ht="15" hidden="false" customHeight="true" outlineLevel="0" collapsed="false">
      <c r="B58" s="28" t="str">
        <f aca="false">Тарифы!$B$91</f>
        <v>seedream-5-0-pro · 1K</v>
      </c>
      <c r="C58" s="40" t="n">
        <f aca="false">Тарифы!$S$91</f>
        <v>86.6666666666667</v>
      </c>
      <c r="D58" s="40" t="n">
        <f aca="false">Тарифы!$T$91</f>
        <v>228.5</v>
      </c>
      <c r="E58" s="40" t="n">
        <f aca="false">Тарифы!$U$91</f>
        <v>566.666666666667</v>
      </c>
      <c r="F58" s="40" t="n">
        <f aca="false">Тарифы!$V$91</f>
        <v>866.666666666667</v>
      </c>
      <c r="G58" s="40" t="n">
        <f aca="false">Тарифы!$W$91</f>
        <v>1000</v>
      </c>
    </row>
    <row r="59" customFormat="false" ht="15" hidden="false" customHeight="true" outlineLevel="0" collapsed="false">
      <c r="B59" s="28" t="str">
        <f aca="false">Тарифы!$B$92</f>
        <v>seedream-5-0-lite</v>
      </c>
      <c r="C59" s="40" t="n">
        <f aca="false">Тарифы!$S$92</f>
        <v>130</v>
      </c>
      <c r="D59" s="40" t="n">
        <f aca="false">Тарифы!$T$92</f>
        <v>342.75</v>
      </c>
      <c r="E59" s="40" t="n">
        <f aca="false">Тарифы!$U$92</f>
        <v>850</v>
      </c>
      <c r="F59" s="40" t="n">
        <f aca="false">Тарифы!$V$92</f>
        <v>1300</v>
      </c>
      <c r="G59" s="40" t="n">
        <f aca="false">Тарифы!$W$92</f>
        <v>1500</v>
      </c>
    </row>
    <row r="60" customFormat="false" ht="15" hidden="false" customHeight="true" outlineLevel="0" collapsed="false"/>
    <row r="61" customFormat="false" ht="15" hidden="false" customHeight="true" outlineLevel="0" collapsed="false">
      <c r="B61" s="4" t="s">
        <v>85</v>
      </c>
      <c r="C61" s="5"/>
      <c r="D61" s="5"/>
      <c r="E61" s="5"/>
      <c r="F61" s="5"/>
      <c r="G61" s="5"/>
      <c r="H61" s="5"/>
    </row>
    <row r="62" customFormat="false" ht="15" hidden="false" customHeight="true" outlineLevel="0" collapsed="false">
      <c r="B62" s="32" t="s">
        <v>79</v>
      </c>
      <c r="C62" s="41" t="n">
        <f aca="false">Технический!H112</f>
        <v>19</v>
      </c>
      <c r="D62" s="41" t="n">
        <f aca="false">Технический!H110</f>
        <v>59</v>
      </c>
      <c r="E62" s="41" t="n">
        <f aca="false">Технический!H111</f>
        <v>129</v>
      </c>
    </row>
    <row r="63" customFormat="false" ht="15" hidden="false" customHeight="true" outlineLevel="0" collapsed="false">
      <c r="B63" s="32" t="s">
        <v>80</v>
      </c>
      <c r="C63" s="42" t="n">
        <f aca="false">Технический!H112*Технический!$C$17*(1+Технический!$C$111)</f>
        <v>1695.75</v>
      </c>
      <c r="D63" s="42" t="n">
        <f aca="false">Технический!H110*Технический!$C$17*(1+Технический!$C$111)</f>
        <v>5265.75</v>
      </c>
      <c r="E63" s="42" t="n">
        <f aca="false">Технический!H111*Технический!$C$17*(1+Технический!$C$111)</f>
        <v>11513.25</v>
      </c>
    </row>
    <row r="64" customFormat="false" ht="15" hidden="false" customHeight="true" outlineLevel="0" collapsed="false">
      <c r="B64" s="35" t="s">
        <v>74</v>
      </c>
      <c r="C64" s="36" t="s">
        <v>86</v>
      </c>
      <c r="D64" s="36" t="s">
        <v>87</v>
      </c>
      <c r="E64" s="36" t="s">
        <v>55</v>
      </c>
    </row>
    <row r="65" customFormat="false" ht="15" hidden="false" customHeight="true" outlineLevel="0" collapsed="false">
      <c r="B65" s="28" t="str">
        <f aca="false">Тарифы!$B$54</f>
        <v>nano-banana</v>
      </c>
      <c r="C65" s="43" t="n">
        <f aca="false">Тарифы!$Y$54</f>
        <v>270</v>
      </c>
      <c r="D65" s="43" t="n">
        <f aca="false">Тарифы!$Z$54</f>
        <v>1200</v>
      </c>
      <c r="E65" s="43" t="n">
        <f aca="false">Тарифы!$AA$54</f>
        <v>3000</v>
      </c>
    </row>
    <row r="66" customFormat="false" ht="15" hidden="false" customHeight="true" outlineLevel="0" collapsed="false">
      <c r="B66" s="28" t="str">
        <f aca="false">Тарифы!$B$55</f>
        <v>recraft-v4</v>
      </c>
      <c r="C66" s="43" t="n">
        <f aca="false">Тарифы!$Y$55</f>
        <v>216</v>
      </c>
      <c r="D66" s="43" t="n">
        <f aca="false">Тарифы!$Z$55</f>
        <v>960</v>
      </c>
      <c r="E66" s="43" t="n">
        <f aca="false">Тарифы!$AA$55</f>
        <v>2400</v>
      </c>
    </row>
    <row r="67" customFormat="false" ht="15" hidden="false" customHeight="true" outlineLevel="0" collapsed="false">
      <c r="B67" s="28" t="str">
        <f aca="false">Тарифы!$B$56</f>
        <v>gpt-image-2</v>
      </c>
      <c r="C67" s="43" t="n">
        <f aca="false">Тарифы!$Y$56</f>
        <v>135</v>
      </c>
      <c r="D67" s="43" t="n">
        <f aca="false">Тарифы!$Z$56</f>
        <v>600</v>
      </c>
      <c r="E67" s="43" t="n">
        <f aca="false">Тарифы!$AA$56</f>
        <v>1500</v>
      </c>
    </row>
    <row r="68" customFormat="false" ht="15" hidden="false" customHeight="true" outlineLevel="0" collapsed="false">
      <c r="B68" s="28" t="str">
        <f aca="false">Тарифы!$B$57</f>
        <v>recraft-v4-vector</v>
      </c>
      <c r="C68" s="43" t="n">
        <f aca="false">Тарифы!$Y$57</f>
        <v>108</v>
      </c>
      <c r="D68" s="43" t="n">
        <f aca="false">Тарифы!$Z$57</f>
        <v>480</v>
      </c>
      <c r="E68" s="43" t="n">
        <f aca="false">Тарифы!$AA$57</f>
        <v>1200</v>
      </c>
    </row>
    <row r="69" customFormat="false" ht="15" hidden="false" customHeight="true" outlineLevel="0" collapsed="false">
      <c r="B69" s="28" t="str">
        <f aca="false">Тарифы!$B$58</f>
        <v>nano-banana-2-lite</v>
      </c>
      <c r="C69" s="43" t="n">
        <f aca="false">Тарифы!$Y$58</f>
        <v>270</v>
      </c>
      <c r="D69" s="43" t="n">
        <f aca="false">Тарифы!$Z$58</f>
        <v>1200</v>
      </c>
      <c r="E69" s="43" t="n">
        <f aca="false">Тарифы!$AA$58</f>
        <v>3000</v>
      </c>
    </row>
    <row r="70" customFormat="false" ht="15" hidden="false" customHeight="true" outlineLevel="0" collapsed="false">
      <c r="B70" s="28" t="str">
        <f aca="false">Тарифы!$B$59</f>
        <v>nano-banana-2</v>
      </c>
      <c r="C70" s="43" t="n">
        <f aca="false">Тарифы!$Y$59</f>
        <v>135</v>
      </c>
      <c r="D70" s="43" t="n">
        <f aca="false">Тарифы!$Z$59</f>
        <v>600</v>
      </c>
      <c r="E70" s="43" t="n">
        <f aca="false">Тарифы!$AA$59</f>
        <v>1500</v>
      </c>
    </row>
    <row r="71" customFormat="false" ht="15" hidden="false" customHeight="true" outlineLevel="0" collapsed="false">
      <c r="B71" s="28" t="str">
        <f aca="false">Тарифы!$B$60</f>
        <v>nano-banana-pro</v>
      </c>
      <c r="C71" s="43" t="n">
        <f aca="false">Тарифы!$Y$60</f>
        <v>135</v>
      </c>
      <c r="D71" s="43" t="n">
        <f aca="false">Тарифы!$Z$60</f>
        <v>600</v>
      </c>
      <c r="E71" s="43" t="n">
        <f aca="false">Тарифы!$AA$60</f>
        <v>1500</v>
      </c>
    </row>
    <row r="72" customFormat="false" ht="15" hidden="false" customHeight="true" outlineLevel="0" collapsed="false">
      <c r="B72" s="28" t="str">
        <f aca="false">Тарифы!$B$61</f>
        <v>flux-2-pro · 2MP</v>
      </c>
      <c r="C72" s="43" t="n">
        <f aca="false">Тарифы!$Y$61</f>
        <v>180</v>
      </c>
      <c r="D72" s="43" t="n">
        <f aca="false">Тарифы!$Z$61</f>
        <v>800</v>
      </c>
      <c r="E72" s="43" t="n">
        <f aca="false">Тарифы!$AA$61</f>
        <v>2000</v>
      </c>
    </row>
    <row r="73" customFormat="false" ht="15" hidden="false" customHeight="true" outlineLevel="0" collapsed="false">
      <c r="B73" s="28" t="str">
        <f aca="false">Тарифы!$B$62</f>
        <v>seedream-4-5 · до 4K</v>
      </c>
      <c r="C73" s="43" t="n">
        <f aca="false">Тарифы!$Y$62</f>
        <v>270</v>
      </c>
      <c r="D73" s="43" t="n">
        <f aca="false">Тарифы!$Z$62</f>
        <v>1200</v>
      </c>
      <c r="E73" s="43" t="n">
        <f aca="false">Тарифы!$AA$62</f>
        <v>3000</v>
      </c>
    </row>
    <row r="74" customFormat="false" ht="15" hidden="false" customHeight="true" outlineLevel="0" collapsed="false">
      <c r="B74" s="28" t="str">
        <f aca="false">Тарифы!$B$64</f>
        <v>happyhorse-1-0</v>
      </c>
      <c r="C74" s="43" t="n">
        <f aca="false">Тарифы!$Y$64</f>
        <v>12</v>
      </c>
      <c r="D74" s="43" t="n">
        <f aca="false">Тарифы!$Z$64</f>
        <v>53.3333333333333</v>
      </c>
      <c r="E74" s="43" t="n">
        <f aca="false">Тарифы!$AA$64</f>
        <v>133.333333333333</v>
      </c>
    </row>
    <row r="75" customFormat="false" ht="15" hidden="false" customHeight="true" outlineLevel="0" collapsed="false">
      <c r="B75" s="28" t="str">
        <f aca="false">Тарифы!$B$65</f>
        <v>happyhorse-1-1</v>
      </c>
      <c r="C75" s="43" t="n">
        <f aca="false">Тарифы!$Y$65</f>
        <v>12</v>
      </c>
      <c r="D75" s="43" t="n">
        <f aca="false">Тарифы!$Z$65</f>
        <v>53.3333333333333</v>
      </c>
      <c r="E75" s="43" t="n">
        <f aca="false">Тарифы!$AA$65</f>
        <v>133.333333333333</v>
      </c>
    </row>
    <row r="76" customFormat="false" ht="14.25" hidden="false" customHeight="true" outlineLevel="0" collapsed="false">
      <c r="B76" s="28" t="str">
        <f aca="false">Тарифы!$B$66</f>
        <v>veo-3-1 Quality · 720p</v>
      </c>
      <c r="C76" s="43" t="n">
        <f aca="false">Тарифы!$Y$66</f>
        <v>0</v>
      </c>
      <c r="D76" s="43" t="n">
        <f aca="false">Тарифы!$Z$66</f>
        <v>0</v>
      </c>
      <c r="E76" s="43" t="n">
        <f aca="false">Тарифы!$AA$66</f>
        <v>0</v>
      </c>
    </row>
    <row r="77" customFormat="false" ht="15" hidden="false" customHeight="true" outlineLevel="0" collapsed="false">
      <c r="B77" s="28" t="str">
        <f aca="false">Тарифы!$B$67</f>
        <v>veo-3-1-fast · 720p</v>
      </c>
      <c r="C77" s="43" t="n">
        <f aca="false">Тарифы!$Y$67</f>
        <v>0</v>
      </c>
      <c r="D77" s="43" t="n">
        <f aca="false">Тарифы!$Z$67</f>
        <v>0</v>
      </c>
      <c r="E77" s="43" t="n">
        <f aca="false">Тарифы!$AA$67</f>
        <v>0</v>
      </c>
    </row>
    <row r="78" customFormat="false" ht="15" hidden="false" customHeight="true" outlineLevel="0" collapsed="false">
      <c r="B78" s="28" t="str">
        <f aca="false">Тарифы!$B$68</f>
        <v>veo-3-1-lite · 720p</v>
      </c>
      <c r="C78" s="43" t="n">
        <f aca="false">Тарифы!$Y$68</f>
        <v>0</v>
      </c>
      <c r="D78" s="43" t="n">
        <f aca="false">Тарифы!$Z$68</f>
        <v>0</v>
      </c>
      <c r="E78" s="43" t="n">
        <f aca="false">Тарифы!$AA$68</f>
        <v>0</v>
      </c>
    </row>
    <row r="79" customFormat="false" ht="14.25" hidden="false" customHeight="true" outlineLevel="0" collapsed="false">
      <c r="B79" s="28"/>
      <c r="C79" s="43"/>
      <c r="D79" s="43"/>
      <c r="E79" s="43"/>
    </row>
    <row r="80" customFormat="false" ht="14.25" hidden="false" customHeight="true" outlineLevel="0" collapsed="false">
      <c r="B80" s="28" t="str">
        <f aca="false">Тарифы!$B$70</f>
        <v>grok-imagine · 720p · Kie</v>
      </c>
      <c r="C80" s="43" t="n">
        <f aca="false">Тарифы!$Y$70</f>
        <v>30</v>
      </c>
      <c r="D80" s="43" t="n">
        <f aca="false">Тарифы!$Z$70</f>
        <v>133.333333333333</v>
      </c>
      <c r="E80" s="43" t="n">
        <f aca="false">Тарифы!$AA$70</f>
        <v>333.333333333333</v>
      </c>
    </row>
    <row r="81" customFormat="false" ht="14.25" hidden="false" customHeight="true" outlineLevel="0" collapsed="false">
      <c r="B81" s="28" t="str">
        <f aca="false">Тарифы!$B$71</f>
        <v>gemini-omni-flash · 720p</v>
      </c>
      <c r="C81" s="43" t="n">
        <f aca="false">Тарифы!$Y$71</f>
        <v>11.25</v>
      </c>
      <c r="D81" s="43" t="n">
        <f aca="false">Тарифы!$Z$71</f>
        <v>50</v>
      </c>
      <c r="E81" s="43" t="n">
        <f aca="false">Тарифы!$AA$71</f>
        <v>125</v>
      </c>
    </row>
    <row r="82" customFormat="false" ht="14.25" hidden="false" customHeight="true" outlineLevel="0" collapsed="false">
      <c r="B82" s="28" t="str">
        <f aca="false">Тарифы!$B$72</f>
        <v>seedance-2-0 · 1080p · OpenRouter</v>
      </c>
      <c r="C82" s="43" t="n">
        <f aca="false">Тарифы!$Y$72</f>
        <v>6</v>
      </c>
      <c r="D82" s="43" t="n">
        <f aca="false">Тарифы!$Z$72</f>
        <v>26.6666666666667</v>
      </c>
      <c r="E82" s="43" t="n">
        <f aca="false">Тарифы!$AA$72</f>
        <v>66.6666666666667</v>
      </c>
    </row>
    <row r="83" customFormat="false" ht="14.25" hidden="false" customHeight="true" outlineLevel="0" collapsed="false">
      <c r="B83" s="28" t="str">
        <f aca="false">Тарифы!$B$73</f>
        <v>seedance-2-0-fast · 720p</v>
      </c>
      <c r="C83" s="43" t="n">
        <f aca="false">Тарифы!$Y$73</f>
        <v>15.4285714285714</v>
      </c>
      <c r="D83" s="43" t="n">
        <f aca="false">Тарифы!$Z$73</f>
        <v>68.5714285714286</v>
      </c>
      <c r="E83" s="43" t="n">
        <f aca="false">Тарифы!$AA$73</f>
        <v>171.428571428571</v>
      </c>
    </row>
    <row r="84" customFormat="false" ht="14.25" hidden="false" customHeight="true" outlineLevel="0" collapsed="false">
      <c r="B84" s="28" t="str">
        <f aca="false">Тарифы!$B$74</f>
        <v>wan-2-7 · 720p (kie)</v>
      </c>
      <c r="C84" s="43" t="n">
        <f aca="false">Тарифы!$Y$74</f>
        <v>0</v>
      </c>
      <c r="D84" s="43" t="n">
        <f aca="false">Тарифы!$Z$74</f>
        <v>0</v>
      </c>
      <c r="E84" s="43" t="n">
        <f aca="false">Тарифы!$AA$74</f>
        <v>0</v>
      </c>
    </row>
    <row r="85" customFormat="false" ht="14.25" hidden="false" customHeight="true" outlineLevel="0" collapsed="false">
      <c r="B85" s="28" t="str">
        <f aca="false">Тарифы!$B$75</f>
        <v>kling-v3-standard</v>
      </c>
      <c r="C85" s="43" t="n">
        <f aca="false">Тарифы!$Y$75</f>
        <v>27</v>
      </c>
      <c r="D85" s="43" t="n">
        <f aca="false">Тарифы!$Z$75</f>
        <v>120</v>
      </c>
      <c r="E85" s="43" t="n">
        <f aca="false">Тарифы!$AA$75</f>
        <v>300</v>
      </c>
    </row>
    <row r="86" customFormat="false" ht="14.25" hidden="false" customHeight="true" outlineLevel="0" collapsed="false">
      <c r="B86" s="28" t="str">
        <f aca="false">Тарифы!$B$91</f>
        <v>seedream-5-0-pro · 1K</v>
      </c>
      <c r="C86" s="43" t="n">
        <f aca="false">Тарифы!$Y$91</f>
        <v>180</v>
      </c>
      <c r="D86" s="43" t="n">
        <f aca="false">Тарифы!$Z$91</f>
        <v>800</v>
      </c>
      <c r="E86" s="43" t="n">
        <f aca="false">Тарифы!$AA$91</f>
        <v>2000</v>
      </c>
    </row>
    <row r="87" customFormat="false" ht="14.25" hidden="false" customHeight="true" outlineLevel="0" collapsed="false">
      <c r="B87" s="28" t="str">
        <f aca="false">Тарифы!$B$92</f>
        <v>seedream-5-0-lite</v>
      </c>
      <c r="C87" s="43" t="n">
        <f aca="false">Тарифы!$Y$92</f>
        <v>180</v>
      </c>
      <c r="D87" s="43" t="n">
        <f aca="false">Тарифы!$Z$92</f>
        <v>800</v>
      </c>
      <c r="E87" s="43" t="n">
        <f aca="false">Тарифы!$AA$92</f>
        <v>2000</v>
      </c>
    </row>
    <row r="89" customFormat="false" ht="14.25" hidden="false" customHeight="true" outlineLevel="0" collapsed="false">
      <c r="B89" s="4" t="s">
        <v>88</v>
      </c>
      <c r="C89" s="5"/>
      <c r="D89" s="5"/>
      <c r="E89" s="5"/>
      <c r="F89" s="5"/>
      <c r="G89" s="5"/>
      <c r="H89" s="5"/>
    </row>
    <row r="90" customFormat="false" ht="14.25" hidden="false" customHeight="true" outlineLevel="0" collapsed="false">
      <c r="B90" s="8"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2"/>
    <col collapsed="false" customWidth="true" hidden="false" outlineLevel="0" max="4" min="3" style="1" width="8"/>
    <col collapsed="false" customWidth="true" hidden="false" outlineLevel="0" max="5" min="5" style="1" width="12"/>
    <col collapsed="false" customWidth="true" hidden="false" outlineLevel="0" max="6" min="6" style="1" width="10"/>
    <col collapsed="false" customWidth="true" hidden="false" outlineLevel="0" max="7" min="7" style="1" width="12"/>
    <col collapsed="false" customWidth="true" hidden="false" outlineLevel="0" max="9" min="8" style="1" width="10"/>
    <col collapsed="false" customWidth="true" hidden="false" outlineLevel="0" max="10" min="10" style="1" width="11"/>
    <col collapsed="false" customWidth="true" hidden="false" outlineLevel="0" max="11" min="11" style="1" width="12"/>
    <col collapsed="false" customWidth="true" hidden="false" outlineLevel="0" max="12" min="12" style="1" width="11"/>
    <col collapsed="false" customWidth="true" hidden="false" outlineLevel="0" max="13" min="13" style="1" width="10"/>
    <col collapsed="false" customWidth="true" hidden="false" outlineLevel="0" max="14" min="14" style="1" width="13"/>
    <col collapsed="false" customWidth="true" hidden="false" outlineLevel="0" max="15" min="15" style="1" width="14"/>
    <col collapsed="false" customWidth="true" hidden="false" outlineLevel="0" max="16" min="16" style="1" width="12"/>
    <col collapsed="false" customWidth="true" hidden="false" outlineLevel="0" max="17" min="17" style="1" width="9"/>
    <col collapsed="false" customWidth="true" hidden="false" outlineLevel="0" max="18" min="18" style="1" width="11"/>
    <col collapsed="false" customWidth="true" hidden="false" outlineLevel="0" max="25" min="20" style="1" width="15"/>
    <col collapsed="false" customWidth="true" hidden="false" outlineLevel="0" max="29" min="27" style="1" width="16"/>
    <col collapsed="false" customWidth="true" hidden="false" outlineLevel="0" max="33" min="30" style="1" width="18"/>
    <col collapsed="false" customWidth="true" hidden="false" outlineLevel="0" max="34" min="34" style="1" width="16"/>
    <col collapsed="false" customWidth="true" hidden="false" outlineLevel="0" max="35" min="35" style="1" width="46"/>
    <col collapsed="false" customWidth="true" hidden="false" outlineLevel="0" max="36" min="36" style="1" width="18"/>
    <col collapsed="false" customWidth="true" hidden="false" outlineLevel="0" max="38" min="37" style="1" width="14"/>
    <col collapsed="false" customWidth="true" hidden="false" outlineLevel="0" max="40" min="39" style="1" width="20"/>
    <col collapsed="false" customWidth="true" hidden="false" outlineLevel="0" max="41" min="41" style="1" width="18"/>
    <col collapsed="false" customWidth="true" hidden="false" outlineLevel="0" max="44" min="42" style="1" width="20"/>
  </cols>
  <sheetData>
    <row r="1" customFormat="false" ht="15" hidden="false" customHeight="true" outlineLevel="0" collapsed="false">
      <c r="A1" s="44" t="s">
        <v>90</v>
      </c>
    </row>
    <row r="2" customFormat="false" ht="15" hidden="false" customHeight="true" outlineLevel="0" collapsed="false">
      <c r="A2" s="45" t="inlineStr">
        <is>
          <t xml:space="preserve">Правило: кредитов = максимум из трёх (потолок щедрости +28% к Syntx / маржа 25% / безубыток при уходе на резерв). Маржа — ВАЛОВАЯ, только вендорская себестоимость. Fallback legs signed 2026-08-14: gemini-2.5 flash image Kie $0.02 t2i/edit; GPT Image 2 Kie $0.03/$0.05/$0.08 by low/medium/high and t2i/i2i. GPT quality reserves are costed for margin governance but remain unarmed until Kie quality mapping is approved; sell prices unchanged.</t>
        </is>
      </c>
    </row>
    <row r="3" customFormat="false" ht="15" hidden="false" customHeight="true" outlineLevel="0" collapsed="false">
      <c r="A3" s="46" t="s">
        <v>92</v>
      </c>
      <c r="B3" s="47" t="n">
        <v>85</v>
      </c>
      <c r="C3" s="45" t="s">
        <v>93</v>
      </c>
      <c r="E3" s="46" t="s">
        <v>94</v>
      </c>
      <c r="F3" s="1" t="n">
        <f aca="false">$B$3*1.2492</f>
        <v>106.182</v>
      </c>
    </row>
    <row r="4" customFormat="false" ht="15" hidden="false" customHeight="true" outlineLevel="0" collapsed="false">
      <c r="A4" s="46" t="s">
        <v>95</v>
      </c>
      <c r="B4" s="47" t="n">
        <v>0.331111</v>
      </c>
      <c r="C4" s="45" t="s">
        <v>96</v>
      </c>
      <c r="E4" s="46" t="s">
        <v>97</v>
      </c>
      <c r="F4" s="1" t="n">
        <f aca="false">$B$3*1.1839</f>
        <v>100.6315</v>
      </c>
    </row>
    <row r="5" customFormat="false" ht="15" hidden="false" customHeight="true" outlineLevel="0" collapsed="false">
      <c r="A5" s="46" t="s">
        <v>98</v>
      </c>
      <c r="B5" s="47" t="n">
        <v>0.25</v>
      </c>
      <c r="C5" s="45" t="s">
        <v>99</v>
      </c>
    </row>
    <row r="6" customFormat="false" ht="15" hidden="false" customHeight="true" outlineLevel="0" collapsed="false">
      <c r="A6" s="46" t="s">
        <v>100</v>
      </c>
      <c r="B6" s="47" t="n">
        <v>0.15</v>
      </c>
      <c r="C6" s="45" t="s">
        <v>101</v>
      </c>
    </row>
    <row r="7" customFormat="false" ht="15" hidden="false" customHeight="true" outlineLevel="0" collapsed="false">
      <c r="AJ7" s="48" t="s">
        <v>102</v>
      </c>
      <c r="AM7" s="48" t="s">
        <v>103</v>
      </c>
      <c r="AO7" s="48" t="s">
        <v>104</v>
      </c>
      <c r="AP7" s="49" t="s">
        <v>105</v>
      </c>
    </row>
    <row r="8" customFormat="false" ht="26.25" hidden="false" customHeight="true" outlineLevel="0" collapsed="false">
      <c r="A8" s="50" t="s">
        <v>74</v>
      </c>
      <c r="B8" s="50" t="s">
        <v>106</v>
      </c>
      <c r="C8" s="50" t="s">
        <v>107</v>
      </c>
      <c r="D8" s="50" t="s">
        <v>108</v>
      </c>
      <c r="E8" s="50" t="s">
        <v>109</v>
      </c>
      <c r="F8" s="50" t="s">
        <v>110</v>
      </c>
      <c r="G8" s="50" t="s">
        <v>111</v>
      </c>
      <c r="H8" s="50" t="s">
        <v>112</v>
      </c>
      <c r="I8" s="51" t="s">
        <v>113</v>
      </c>
      <c r="J8" s="51" t="s">
        <v>114</v>
      </c>
      <c r="K8" s="50" t="s">
        <v>115</v>
      </c>
      <c r="L8" s="50" t="s">
        <v>116</v>
      </c>
      <c r="M8" s="50" t="s">
        <v>117</v>
      </c>
      <c r="N8" s="50" t="s">
        <v>118</v>
      </c>
      <c r="O8" s="51" t="s">
        <v>119</v>
      </c>
      <c r="P8" s="50" t="s">
        <v>120</v>
      </c>
      <c r="Q8" s="50" t="s">
        <v>121</v>
      </c>
      <c r="R8" s="52" t="s">
        <v>122</v>
      </c>
      <c r="T8" s="53" t="s">
        <v>123</v>
      </c>
      <c r="U8" s="54" t="s">
        <v>124</v>
      </c>
      <c r="V8" s="53" t="s">
        <v>125</v>
      </c>
      <c r="W8" s="54" t="s">
        <v>126</v>
      </c>
      <c r="X8" s="54" t="s">
        <v>127</v>
      </c>
      <c r="Y8" s="54" t="s">
        <v>128</v>
      </c>
      <c r="Z8" s="1" t="s">
        <v>129</v>
      </c>
      <c r="AA8" s="55" t="s">
        <v>130</v>
      </c>
      <c r="AB8" s="55" t="s">
        <v>131</v>
      </c>
      <c r="AC8" s="55" t="s">
        <v>132</v>
      </c>
      <c r="AD8" s="56" t="s">
        <v>133</v>
      </c>
      <c r="AE8" s="56" t="s">
        <v>134</v>
      </c>
      <c r="AF8" s="56" t="s">
        <v>135</v>
      </c>
      <c r="AG8" s="56" t="s">
        <v>136</v>
      </c>
      <c r="AH8" s="56" t="s">
        <v>137</v>
      </c>
      <c r="AI8" s="57" t="s">
        <v>138</v>
      </c>
      <c r="AJ8" s="58" t="s">
        <v>139</v>
      </c>
      <c r="AK8" s="58" t="s">
        <v>140</v>
      </c>
      <c r="AL8" s="58" t="s">
        <v>141</v>
      </c>
      <c r="AM8" s="58" t="s">
        <v>142</v>
      </c>
      <c r="AN8" s="58" t="s">
        <v>143</v>
      </c>
      <c r="AO8" s="58" t="s">
        <v>144</v>
      </c>
      <c r="AP8" s="57" t="s">
        <v>145</v>
      </c>
      <c r="AQ8" s="57" t="s">
        <v>146</v>
      </c>
      <c r="AR8" s="57" t="s">
        <v>147</v>
      </c>
    </row>
    <row r="9" customFormat="false" ht="15" hidden="false" customHeight="true" outlineLevel="0" collapsed="false">
      <c r="A9" s="59" t="s">
        <v>148</v>
      </c>
      <c r="B9" s="59" t="s">
        <v>149</v>
      </c>
      <c r="C9" s="59" t="n">
        <v>8</v>
      </c>
      <c r="D9" s="59" t="n">
        <v>8</v>
      </c>
      <c r="E9" s="59" t="s">
        <v>150</v>
      </c>
      <c r="F9" s="59" t="n">
        <v>1.25</v>
      </c>
      <c r="G9" s="59" t="s">
        <v>151</v>
      </c>
      <c r="H9" s="59" t="s">
        <v>151</v>
      </c>
      <c r="I9" s="59" t="n">
        <v>119</v>
      </c>
      <c r="J9" s="59" t="n">
        <v>850</v>
      </c>
      <c r="K9" s="59" t="n">
        <f aca="false">F9*1*IF(E9="OpenRouter",$F$3,$F$4)</f>
        <v>125.789375</v>
      </c>
      <c r="L9" s="59" t="n">
        <f aca="false">ROUNDUP(5.014*I9,0)</f>
        <v>597</v>
      </c>
      <c r="M9" s="59" t="n">
        <f aca="false">ROUNDUP(K9*(C9/D9)/($B$4*(1-AH9)),0)</f>
        <v>507</v>
      </c>
      <c r="N9" s="59" t="n">
        <v>0</v>
      </c>
      <c r="O9" s="60" t="n">
        <f aca="false">MAX(L9,M9,N9)</f>
        <v>597</v>
      </c>
      <c r="P9" s="59" t="n">
        <f aca="false">ROUND(O9/C9,0)</f>
        <v>75</v>
      </c>
      <c r="Q9" s="61" t="n">
        <f aca="false">1-K9/(O9*$B$4)</f>
        <v>0.363650042774879</v>
      </c>
      <c r="R9" s="62"/>
      <c r="T9" s="1" t="n">
        <v>119</v>
      </c>
      <c r="U9" s="63" t="s">
        <v>152</v>
      </c>
      <c r="V9" s="64" t="n">
        <f aca="false">(4400/O9)/(685.5/T9)-1</f>
        <v>0.279433882273023</v>
      </c>
      <c r="W9" s="1" t="n">
        <f aca="false">MAX(ROUNDUP(5.014*T9,0),M9,N9)</f>
        <v>597</v>
      </c>
      <c r="X9" s="64" t="n">
        <f aca="false">(4400/W9)/(685.5/T9)-1</f>
        <v>0.279433882273023</v>
      </c>
      <c r="Y9" s="64" t="n">
        <f aca="false">1-K9/(W9*$B$4)</f>
        <v>0.363650042774879</v>
      </c>
      <c r="AA9" s="65" t="n">
        <f aca="false">O9</f>
        <v>597</v>
      </c>
      <c r="AB9" s="1" t="n">
        <f aca="false">C9</f>
        <v>8</v>
      </c>
      <c r="AC9" s="1" t="n">
        <f aca="false">IF(B9="шт","—",P9)</f>
        <v>75</v>
      </c>
      <c r="AD9" s="66" t="s">
        <v>153</v>
      </c>
      <c r="AE9" s="66" t="s">
        <v>151</v>
      </c>
      <c r="AF9" s="66" t="s">
        <v>154</v>
      </c>
      <c r="AG9" s="66" t="s">
        <v>155</v>
      </c>
      <c r="AH9" s="67" t="n">
        <v>0.25</v>
      </c>
      <c r="AP9" s="1" t="s">
        <v>156</v>
      </c>
    </row>
    <row r="10" customFormat="false" ht="15" hidden="false" customHeight="true" outlineLevel="0" collapsed="false">
      <c r="A10" s="59" t="s">
        <v>157</v>
      </c>
      <c r="B10" s="59" t="s">
        <v>149</v>
      </c>
      <c r="C10" s="59" t="n">
        <v>8</v>
      </c>
      <c r="D10" s="59" t="n">
        <v>8</v>
      </c>
      <c r="E10" s="59" t="s">
        <v>150</v>
      </c>
      <c r="F10" s="59" t="n">
        <v>1.275</v>
      </c>
      <c r="G10" s="59" t="s">
        <v>151</v>
      </c>
      <c r="H10" s="59" t="s">
        <v>151</v>
      </c>
      <c r="I10" s="59" t="n">
        <v>119</v>
      </c>
      <c r="J10" s="59" t="n">
        <v>867</v>
      </c>
      <c r="K10" s="59" t="n">
        <f aca="false">F10*1*IF(E10="OpenRouter",$F$3,$F$4)</f>
        <v>128.3051625</v>
      </c>
      <c r="L10" s="59" t="n">
        <f aca="false">ROUNDUP(5.014*I10,0)</f>
        <v>597</v>
      </c>
      <c r="M10" s="59" t="n">
        <f aca="false">ROUNDUP(K10*(C10/D10)/($B$4*(1-AH10)),0)</f>
        <v>517</v>
      </c>
      <c r="N10" s="59" t="n">
        <v>0</v>
      </c>
      <c r="O10" s="60" t="n">
        <f aca="false">MAX(L10,M10,N10)</f>
        <v>597</v>
      </c>
      <c r="P10" s="59" t="n">
        <f aca="false">ROUND(O10/C10,0)</f>
        <v>75</v>
      </c>
      <c r="Q10" s="61" t="n">
        <f aca="false">1-K10/(O10*$B$4)</f>
        <v>0.350923043630376</v>
      </c>
      <c r="R10" s="62"/>
      <c r="T10" s="1" t="n">
        <v>119</v>
      </c>
      <c r="U10" s="63" t="s">
        <v>152</v>
      </c>
      <c r="V10" s="64" t="n">
        <f aca="false">(4400/O10)/(685.5/T10)-1</f>
        <v>0.279433882273023</v>
      </c>
      <c r="W10" s="1" t="n">
        <f aca="false">MAX(ROUNDUP(5.014*T10,0),M10,N10)</f>
        <v>597</v>
      </c>
      <c r="X10" s="64" t="n">
        <f aca="false">(4400/W10)/(685.5/T10)-1</f>
        <v>0.279433882273023</v>
      </c>
      <c r="Y10" s="64" t="n">
        <f aca="false">1-K10/(W10*$B$4)</f>
        <v>0.350923043630376</v>
      </c>
      <c r="AA10" s="65" t="n">
        <f aca="false">O10</f>
        <v>597</v>
      </c>
      <c r="AB10" s="1" t="n">
        <f aca="false">C10</f>
        <v>8</v>
      </c>
      <c r="AC10" s="1" t="n">
        <f aca="false">IF(B10="шт","—",P10)</f>
        <v>75</v>
      </c>
      <c r="AD10" s="66" t="s">
        <v>153</v>
      </c>
      <c r="AE10" s="66" t="s">
        <v>151</v>
      </c>
      <c r="AF10" s="66" t="s">
        <v>154</v>
      </c>
      <c r="AG10" s="66" t="s">
        <v>155</v>
      </c>
      <c r="AH10" s="67" t="n">
        <v>0.25</v>
      </c>
      <c r="AP10" s="1" t="s">
        <v>156</v>
      </c>
    </row>
    <row r="11" customFormat="false" ht="15" hidden="false" customHeight="true" outlineLevel="0" collapsed="false">
      <c r="A11" s="59" t="s">
        <v>158</v>
      </c>
      <c r="B11" s="59" t="s">
        <v>149</v>
      </c>
      <c r="C11" s="59" t="n">
        <v>8</v>
      </c>
      <c r="D11" s="59" t="n">
        <v>8</v>
      </c>
      <c r="E11" s="59" t="s">
        <v>150</v>
      </c>
      <c r="F11" s="59" t="n">
        <v>0.3</v>
      </c>
      <c r="G11" s="59" t="s">
        <v>151</v>
      </c>
      <c r="H11" s="59" t="s">
        <v>151</v>
      </c>
      <c r="I11" s="59" t="n">
        <v>19</v>
      </c>
      <c r="J11" s="59" t="n">
        <v>213</v>
      </c>
      <c r="K11" s="59" t="n">
        <f aca="false">F11*1*IF(E11="OpenRouter",$F$3,$F$4)</f>
        <v>30.18945</v>
      </c>
      <c r="L11" s="59" t="n">
        <f aca="false">ROUNDUP(5.014*I11,0)</f>
        <v>96</v>
      </c>
      <c r="M11" s="59" t="n">
        <f aca="false">ROUNDUP(K11*(C11/D11)/($B$4*(1-AH11)),0)</f>
        <v>122</v>
      </c>
      <c r="N11" s="59" t="n">
        <v>0</v>
      </c>
      <c r="O11" s="60" t="n">
        <f aca="false">MAX(L11,M11,N11)</f>
        <v>122</v>
      </c>
      <c r="P11" s="59" t="n">
        <f aca="false">ROUND(O11/C11,0)</f>
        <v>15</v>
      </c>
      <c r="Q11" s="61" t="n">
        <f aca="false">1-K11/(O11*$B$4)</f>
        <v>0.252653919088398</v>
      </c>
      <c r="R11" s="62"/>
      <c r="T11" s="1" t="n">
        <v>19</v>
      </c>
      <c r="U11" s="63" t="s">
        <v>152</v>
      </c>
      <c r="V11" s="64" t="n">
        <f aca="false">(4400/O11)/(685.5/T11)-1</f>
        <v>-0.000370675945522647</v>
      </c>
      <c r="W11" s="1" t="n">
        <f aca="false">MAX(ROUNDUP(5.014*T11,0),M11,N11)</f>
        <v>122</v>
      </c>
      <c r="X11" s="64" t="n">
        <f aca="false">(4400/W11)/(685.5/T11)-1</f>
        <v>-0.000370675945522647</v>
      </c>
      <c r="Y11" s="64" t="n">
        <f aca="false">1-K11/(W11*$B$4)</f>
        <v>0.252653919088398</v>
      </c>
      <c r="AA11" s="65" t="n">
        <f aca="false">O11</f>
        <v>122</v>
      </c>
      <c r="AB11" s="1" t="n">
        <f aca="false">C11</f>
        <v>8</v>
      </c>
      <c r="AC11" s="1" t="n">
        <f aca="false">IF(B11="шт","—",P11)</f>
        <v>15</v>
      </c>
      <c r="AD11" s="66" t="s">
        <v>153</v>
      </c>
      <c r="AE11" s="66" t="s">
        <v>151</v>
      </c>
      <c r="AF11" s="66" t="s">
        <v>154</v>
      </c>
      <c r="AG11" s="66" t="s">
        <v>155</v>
      </c>
      <c r="AH11" s="67" t="n">
        <v>0.25</v>
      </c>
      <c r="AP11" s="1" t="s">
        <v>156</v>
      </c>
    </row>
    <row r="12" customFormat="false" ht="15" hidden="false" customHeight="true" outlineLevel="0" collapsed="false">
      <c r="A12" s="59" t="s">
        <v>159</v>
      </c>
      <c r="B12" s="59" t="s">
        <v>149</v>
      </c>
      <c r="C12" s="59" t="n">
        <v>8</v>
      </c>
      <c r="D12" s="59" t="n">
        <v>8</v>
      </c>
      <c r="E12" s="59" t="s">
        <v>150</v>
      </c>
      <c r="F12" s="59" t="n">
        <v>0.325</v>
      </c>
      <c r="G12" s="59" t="s">
        <v>151</v>
      </c>
      <c r="H12" s="59" t="s">
        <v>151</v>
      </c>
      <c r="I12" s="59" t="n">
        <v>19</v>
      </c>
      <c r="J12" s="59" t="n">
        <v>255</v>
      </c>
      <c r="K12" s="59" t="n">
        <f aca="false">F12*1*IF(E12="OpenRouter",$F$3,$F$4)</f>
        <v>32.7052375</v>
      </c>
      <c r="L12" s="59" t="n">
        <f aca="false">ROUNDUP(5.014*I12,0)</f>
        <v>96</v>
      </c>
      <c r="M12" s="59" t="n">
        <f aca="false">ROUNDUP(K12*(C12/D12)/($B$4*(1-AH12)),0)</f>
        <v>132</v>
      </c>
      <c r="N12" s="59" t="n">
        <v>0</v>
      </c>
      <c r="O12" s="60" t="n">
        <f aca="false">MAX(L12,M12,N12)</f>
        <v>132</v>
      </c>
      <c r="P12" s="59" t="n">
        <f aca="false">ROUND(O12/C12,0)</f>
        <v>17</v>
      </c>
      <c r="Q12" s="61" t="n">
        <f aca="false">1-K12/(O12*$B$4)</f>
        <v>0.251710300299369</v>
      </c>
      <c r="R12" s="62"/>
      <c r="T12" s="1" t="n">
        <v>19</v>
      </c>
      <c r="U12" s="63" t="s">
        <v>152</v>
      </c>
      <c r="V12" s="64" t="n">
        <f aca="false">(4400/O12)/(685.5/T12)-1</f>
        <v>-0.0761001701920739</v>
      </c>
      <c r="W12" s="1" t="n">
        <f aca="false">MAX(ROUNDUP(5.014*T12,0),M12,N12)</f>
        <v>132</v>
      </c>
      <c r="X12" s="64" t="n">
        <f aca="false">(4400/W12)/(685.5/T12)-1</f>
        <v>-0.0761001701920739</v>
      </c>
      <c r="Y12" s="64" t="n">
        <f aca="false">1-K12/(W12*$B$4)</f>
        <v>0.251710300299369</v>
      </c>
      <c r="AA12" s="65" t="n">
        <f aca="false">O12</f>
        <v>132</v>
      </c>
      <c r="AB12" s="1" t="n">
        <f aca="false">C12</f>
        <v>8</v>
      </c>
      <c r="AC12" s="1" t="n">
        <f aca="false">IF(B12="шт","—",P12)</f>
        <v>17</v>
      </c>
      <c r="AD12" s="66" t="s">
        <v>153</v>
      </c>
      <c r="AE12" s="66" t="s">
        <v>151</v>
      </c>
      <c r="AF12" s="66" t="s">
        <v>154</v>
      </c>
      <c r="AG12" s="66" t="s">
        <v>155</v>
      </c>
      <c r="AH12" s="67" t="n">
        <v>0.25</v>
      </c>
      <c r="AP12" s="1" t="s">
        <v>156</v>
      </c>
    </row>
    <row r="13" customFormat="false" ht="15" hidden="false" customHeight="true" outlineLevel="0" collapsed="false">
      <c r="A13" s="59" t="s">
        <v>160</v>
      </c>
      <c r="B13" s="59" t="s">
        <v>149</v>
      </c>
      <c r="C13" s="59" t="n">
        <v>8</v>
      </c>
      <c r="D13" s="59" t="n">
        <v>8</v>
      </c>
      <c r="E13" s="59" t="s">
        <v>150</v>
      </c>
      <c r="F13" s="59" t="n">
        <v>0.15</v>
      </c>
      <c r="G13" s="59" t="s">
        <v>151</v>
      </c>
      <c r="H13" s="59" t="s">
        <v>151</v>
      </c>
      <c r="I13" s="59" t="n">
        <v>13</v>
      </c>
      <c r="J13" s="59" t="n">
        <v>107</v>
      </c>
      <c r="K13" s="59" t="n">
        <f aca="false">F13*1*IF(E13="OpenRouter",$F$3,$F$4)</f>
        <v>15.094725</v>
      </c>
      <c r="L13" s="59" t="n">
        <f aca="false">ROUNDUP(5.014*I13,0)</f>
        <v>66</v>
      </c>
      <c r="M13" s="59" t="n">
        <f aca="false">ROUNDUP(K13*(C13/D13)/($B$4*(1-AH13)),0)</f>
        <v>61</v>
      </c>
      <c r="N13" s="59" t="n">
        <v>0</v>
      </c>
      <c r="O13" s="60" t="n">
        <f aca="false">MAX(L13,M13,N13)</f>
        <v>66</v>
      </c>
      <c r="P13" s="59" t="n">
        <f aca="false">ROUND(O13/C13,0)</f>
        <v>8</v>
      </c>
      <c r="Q13" s="61" t="n">
        <f aca="false">1-K13/(O13*$B$4)</f>
        <v>0.309271046430186</v>
      </c>
      <c r="R13" s="62"/>
      <c r="T13" s="1" t="n">
        <v>13</v>
      </c>
      <c r="U13" s="63" t="s">
        <v>152</v>
      </c>
      <c r="V13" s="64" t="n">
        <f aca="false">(4400/O13)/(685.5/T13)-1</f>
        <v>0.264283977631899</v>
      </c>
      <c r="W13" s="1" t="n">
        <f aca="false">MAX(ROUNDUP(5.014*T13,0),M13,N13)</f>
        <v>66</v>
      </c>
      <c r="X13" s="64" t="n">
        <f aca="false">(4400/W13)/(685.5/T13)-1</f>
        <v>0.264283977631899</v>
      </c>
      <c r="Y13" s="64" t="n">
        <f aca="false">1-K13/(W13*$B$4)</f>
        <v>0.309271046430186</v>
      </c>
      <c r="AA13" s="65" t="n">
        <f aca="false">O13</f>
        <v>66</v>
      </c>
      <c r="AB13" s="1" t="n">
        <f aca="false">C13</f>
        <v>8</v>
      </c>
      <c r="AC13" s="1" t="n">
        <f aca="false">IF(B13="шт","—",P13)</f>
        <v>8</v>
      </c>
      <c r="AD13" s="66" t="s">
        <v>153</v>
      </c>
      <c r="AE13" s="66" t="s">
        <v>151</v>
      </c>
      <c r="AF13" s="66" t="s">
        <v>154</v>
      </c>
      <c r="AG13" s="66" t="s">
        <v>155</v>
      </c>
      <c r="AH13" s="67" t="n">
        <v>0.25</v>
      </c>
      <c r="AP13" s="1" t="s">
        <v>156</v>
      </c>
    </row>
    <row r="14" customFormat="false" ht="15" hidden="false" customHeight="true" outlineLevel="0" collapsed="false">
      <c r="A14" s="59" t="s">
        <v>161</v>
      </c>
      <c r="B14" s="59" t="s">
        <v>149</v>
      </c>
      <c r="C14" s="59" t="n">
        <v>8</v>
      </c>
      <c r="D14" s="59" t="n">
        <v>8</v>
      </c>
      <c r="E14" s="59" t="s">
        <v>150</v>
      </c>
      <c r="F14" s="59" t="n">
        <v>0.175</v>
      </c>
      <c r="G14" s="59" t="s">
        <v>151</v>
      </c>
      <c r="H14" s="59" t="s">
        <v>151</v>
      </c>
      <c r="I14" s="59" t="n">
        <v>13</v>
      </c>
      <c r="J14" s="59" t="n">
        <v>170</v>
      </c>
      <c r="K14" s="59" t="n">
        <f aca="false">F14*1*IF(E14="OpenRouter",$F$3,$F$4)</f>
        <v>17.6105125</v>
      </c>
      <c r="L14" s="59" t="n">
        <f aca="false">ROUNDUP(5.014*I14,0)</f>
        <v>66</v>
      </c>
      <c r="M14" s="59" t="n">
        <f aca="false">ROUNDUP(K14*(C14/D14)/($B$4*(1-AH14)),0)</f>
        <v>71</v>
      </c>
      <c r="N14" s="59" t="n">
        <v>0</v>
      </c>
      <c r="O14" s="60" t="n">
        <f aca="false">MAX(L14,M14,N14)</f>
        <v>71</v>
      </c>
      <c r="P14" s="59" t="n">
        <f aca="false">ROUND(O14/C14,0)</f>
        <v>9</v>
      </c>
      <c r="Q14" s="61" t="n">
        <f aca="false">1-K14/(O14*$B$4)</f>
        <v>0.250899585565132</v>
      </c>
      <c r="R14" s="62"/>
      <c r="T14" s="1" t="n">
        <v>13</v>
      </c>
      <c r="U14" s="63" t="s">
        <v>152</v>
      </c>
      <c r="V14" s="64" t="n">
        <f aca="false">(4400/O14)/(685.5/T14)-1</f>
        <v>0.175249894700075</v>
      </c>
      <c r="W14" s="1" t="n">
        <f aca="false">MAX(ROUNDUP(5.014*T14,0),M14,N14)</f>
        <v>71</v>
      </c>
      <c r="X14" s="64" t="n">
        <f aca="false">(4400/W14)/(685.5/T14)-1</f>
        <v>0.175249894700075</v>
      </c>
      <c r="Y14" s="64" t="n">
        <f aca="false">1-K14/(W14*$B$4)</f>
        <v>0.250899585565132</v>
      </c>
      <c r="AA14" s="65" t="n">
        <f aca="false">O14</f>
        <v>71</v>
      </c>
      <c r="AB14" s="1" t="n">
        <f aca="false">C14</f>
        <v>8</v>
      </c>
      <c r="AC14" s="1" t="n">
        <f aca="false">IF(B14="шт","—",P14)</f>
        <v>9</v>
      </c>
      <c r="AD14" s="66" t="s">
        <v>153</v>
      </c>
      <c r="AE14" s="66" t="s">
        <v>151</v>
      </c>
      <c r="AF14" s="66" t="s">
        <v>154</v>
      </c>
      <c r="AG14" s="66" t="s">
        <v>155</v>
      </c>
      <c r="AH14" s="67" t="n">
        <v>0.25</v>
      </c>
      <c r="AP14" s="1" t="s">
        <v>156</v>
      </c>
    </row>
    <row r="15" customFormat="false" ht="15" hidden="false" customHeight="true" outlineLevel="0" collapsed="false">
      <c r="A15" s="59" t="s">
        <v>162</v>
      </c>
      <c r="B15" s="59" t="s">
        <v>163</v>
      </c>
      <c r="C15" s="59" t="n">
        <v>5</v>
      </c>
      <c r="D15" s="59" t="n">
        <v>5</v>
      </c>
      <c r="E15" s="59" t="s">
        <v>150</v>
      </c>
      <c r="F15" s="59" t="n">
        <v>1.04</v>
      </c>
      <c r="G15" s="59" t="s">
        <v>151</v>
      </c>
      <c r="H15" s="59" t="s">
        <v>151</v>
      </c>
      <c r="I15" s="59" t="s">
        <v>151</v>
      </c>
      <c r="J15" s="59"/>
      <c r="K15" s="59" t="n">
        <f aca="false">F15*C15*IF(E15="OpenRouter",$F$3,$F$4)</f>
        <v>523.2838</v>
      </c>
      <c r="L15" s="59" t="n">
        <v>0</v>
      </c>
      <c r="M15" s="59" t="n">
        <f aca="false">ROUNDUP(K15*(C15/D15)/($B$4*(1-IF(B15="фикс",$B$6,AH15))),0)</f>
        <v>2108</v>
      </c>
      <c r="N15" s="59" t="n">
        <v>0</v>
      </c>
      <c r="O15" s="60" t="n">
        <f aca="false">MAX(L15,M15,N15)</f>
        <v>2108</v>
      </c>
      <c r="P15" s="59" t="n">
        <f aca="false">ROUND(O15/C15,0)</f>
        <v>422</v>
      </c>
      <c r="Q15" s="61" t="n">
        <f aca="false">1-K15/(O15*$B$4)</f>
        <v>0.250290395745857</v>
      </c>
      <c r="R15" s="62"/>
      <c r="U15" s="1" t="s">
        <v>164</v>
      </c>
      <c r="AA15" s="65" t="n">
        <f aca="false">O15</f>
        <v>2108</v>
      </c>
      <c r="AB15" s="1" t="n">
        <f aca="false">C15</f>
        <v>5</v>
      </c>
      <c r="AC15" s="1" t="n">
        <f aca="false">IF(B15="шт","—",P15)</f>
        <v>422</v>
      </c>
      <c r="AD15" s="66" t="s">
        <v>153</v>
      </c>
      <c r="AE15" s="66" t="s">
        <v>151</v>
      </c>
      <c r="AF15" s="66" t="s">
        <v>165</v>
      </c>
      <c r="AG15" s="68" t="s">
        <v>166</v>
      </c>
      <c r="AH15" s="67" t="n">
        <f aca="false">$B$5</f>
        <v>0.25</v>
      </c>
      <c r="AP15" s="1" t="s">
        <v>156</v>
      </c>
    </row>
    <row r="16" customFormat="false" ht="15" hidden="false" customHeight="true" outlineLevel="0" collapsed="false">
      <c r="A16" s="59" t="s">
        <v>167</v>
      </c>
      <c r="B16" s="59" t="s">
        <v>163</v>
      </c>
      <c r="C16" s="59" t="n">
        <v>5</v>
      </c>
      <c r="D16" s="59" t="n">
        <v>5</v>
      </c>
      <c r="E16" s="59" t="s">
        <v>168</v>
      </c>
      <c r="F16" s="59" t="n">
        <v>0.34</v>
      </c>
      <c r="G16" s="59" t="s">
        <v>150</v>
      </c>
      <c r="H16" s="59" t="n">
        <v>0.51</v>
      </c>
      <c r="I16" s="59" t="n">
        <v>112.25</v>
      </c>
      <c r="J16" s="59" t="n">
        <v>642</v>
      </c>
      <c r="K16" s="59" t="n">
        <f aca="false">F16*C16*IF(E16="OpenRouter",$F$3,$F$4)</f>
        <v>180.5094</v>
      </c>
      <c r="L16" s="59" t="n">
        <f aca="false">ROUNDUP(5.014*I16,0)</f>
        <v>563</v>
      </c>
      <c r="M16" s="59" t="n">
        <f aca="false">ROUNDUP(K16*(C16/D16)/($B$4*(1-IF(B16="фикс",$B$6,AH16))),0)</f>
        <v>727</v>
      </c>
      <c r="N16" s="59" t="n">
        <f aca="false">ROUNDUP(H16*C16*IF(G16="OpenRouter",$F$3,$F$4)/$B$4,0)</f>
        <v>775</v>
      </c>
      <c r="O16" s="69" t="n">
        <f aca="false">MAX(L16,M16,N16)</f>
        <v>775</v>
      </c>
      <c r="P16" s="59" t="n">
        <f aca="false">ROUND(O16/C16,0)</f>
        <v>155</v>
      </c>
      <c r="Q16" s="61" t="n">
        <f aca="false">1-K16/(O16*$B$4)</f>
        <v>0.296564128528772</v>
      </c>
      <c r="R16" s="62"/>
      <c r="T16" s="70" t="n">
        <v>112.25</v>
      </c>
      <c r="U16" s="1" t="s">
        <v>169</v>
      </c>
      <c r="V16" s="64" t="n">
        <f aca="false">(4400/O16)/(685.5/T16)-1</f>
        <v>-0.070327756993953</v>
      </c>
      <c r="W16" s="1" t="n">
        <f aca="false">MAX(ROUNDUP(5.014*T16,0),M16,N16)</f>
        <v>775</v>
      </c>
      <c r="X16" s="64" t="n">
        <f aca="false">(4400/W16)/(685.5/T16)-1</f>
        <v>-0.070327756993953</v>
      </c>
      <c r="Y16" s="64" t="n">
        <f aca="false">1-K16/(W16*$B$4)</f>
        <v>0.296564128528772</v>
      </c>
      <c r="AA16" s="65" t="n">
        <f aca="false">O16</f>
        <v>775</v>
      </c>
      <c r="AB16" s="1" t="n">
        <f aca="false">C16</f>
        <v>5</v>
      </c>
      <c r="AC16" s="1" t="n">
        <f aca="false">IF(B16="шт","—",P16)</f>
        <v>155</v>
      </c>
      <c r="AD16" s="66" t="s">
        <v>168</v>
      </c>
      <c r="AE16" s="66" t="s">
        <v>153</v>
      </c>
      <c r="AF16" s="66" t="s">
        <v>165</v>
      </c>
      <c r="AG16" s="66" t="s">
        <v>170</v>
      </c>
      <c r="AH16" s="67" t="n">
        <f aca="false">$B$5</f>
        <v>0.25</v>
      </c>
      <c r="AP16" s="1" t="s">
        <v>156</v>
      </c>
      <c r="AQ16" s="1" t="s">
        <v>156</v>
      </c>
    </row>
    <row r="17" customFormat="false" ht="15" hidden="false" customHeight="true" outlineLevel="0" collapsed="false">
      <c r="A17" s="59" t="s">
        <v>171</v>
      </c>
      <c r="B17" s="59" t="s">
        <v>163</v>
      </c>
      <c r="C17" s="59" t="n">
        <v>5</v>
      </c>
      <c r="D17" s="59" t="n">
        <v>5</v>
      </c>
      <c r="E17" s="59" t="s">
        <v>168</v>
      </c>
      <c r="F17" s="59" t="n">
        <v>0.151</v>
      </c>
      <c r="G17" s="59" t="s">
        <v>150</v>
      </c>
      <c r="H17" s="59" t="n">
        <v>0.205</v>
      </c>
      <c r="I17" s="59" t="n">
        <v>45.375</v>
      </c>
      <c r="J17" s="59" t="n">
        <v>282</v>
      </c>
      <c r="K17" s="59" t="n">
        <f aca="false">F17*C17*IF(E17="OpenRouter",$F$3,$F$4)</f>
        <v>80.16741</v>
      </c>
      <c r="L17" s="59" t="n">
        <f aca="false">ROUNDUP(5.014*I17,0)</f>
        <v>228</v>
      </c>
      <c r="M17" s="59" t="n">
        <f aca="false">ROUNDUP(K17*(C17/D17)/($B$4*(1-IF(B17="фикс",$B$6,AH17))),0)</f>
        <v>323</v>
      </c>
      <c r="N17" s="59" t="n">
        <f aca="false">ROUNDUP(H17*C17*IF(G17="OpenRouter",$F$3,$F$4)/$B$4,0)</f>
        <v>312</v>
      </c>
      <c r="O17" s="60" t="n">
        <f aca="false">MAX(L17,M17,N17)</f>
        <v>323</v>
      </c>
      <c r="P17" s="59" t="n">
        <f aca="false">ROUND(O17/C17,0)</f>
        <v>65</v>
      </c>
      <c r="Q17" s="61" t="n">
        <f aca="false">1-K17/(O17*$B$4)</f>
        <v>0.250413559834999</v>
      </c>
      <c r="R17" s="62"/>
      <c r="T17" s="70" t="n">
        <v>45.375</v>
      </c>
      <c r="U17" s="1" t="s">
        <v>172</v>
      </c>
      <c r="V17" s="64" t="n">
        <f aca="false">(4400/O17)/(685.5/T17)-1</f>
        <v>-0.0983056818258803</v>
      </c>
      <c r="W17" s="1" t="n">
        <f aca="false">MAX(ROUNDUP(5.014*T17,0),M17,N17)</f>
        <v>323</v>
      </c>
      <c r="X17" s="64" t="n">
        <f aca="false">(4400/W17)/(685.5/T17)-1</f>
        <v>-0.0983056818258803</v>
      </c>
      <c r="Y17" s="64" t="n">
        <f aca="false">1-K17/(W17*$B$4)</f>
        <v>0.250413559834999</v>
      </c>
      <c r="AA17" s="65" t="n">
        <f aca="false">O17</f>
        <v>323</v>
      </c>
      <c r="AB17" s="1" t="n">
        <f aca="false">C17</f>
        <v>5</v>
      </c>
      <c r="AC17" s="1" t="n">
        <f aca="false">IF(B17="шт","—",P17)</f>
        <v>65</v>
      </c>
      <c r="AD17" s="66" t="s">
        <v>168</v>
      </c>
      <c r="AE17" s="66" t="s">
        <v>153</v>
      </c>
      <c r="AF17" s="66" t="s">
        <v>165</v>
      </c>
      <c r="AG17" s="66" t="s">
        <v>170</v>
      </c>
      <c r="AH17" s="67" t="n">
        <f aca="false">$B$5</f>
        <v>0.25</v>
      </c>
      <c r="AP17" s="1" t="s">
        <v>156</v>
      </c>
      <c r="AQ17" s="1" t="s">
        <v>156</v>
      </c>
    </row>
    <row r="18" customFormat="false" ht="15" hidden="false" customHeight="true" outlineLevel="0" collapsed="false">
      <c r="A18" s="59" t="s">
        <v>173</v>
      </c>
      <c r="B18" s="59" t="s">
        <v>163</v>
      </c>
      <c r="C18" s="59" t="n">
        <v>5</v>
      </c>
      <c r="D18" s="59" t="n">
        <v>5</v>
      </c>
      <c r="E18" s="59" t="s">
        <v>168</v>
      </c>
      <c r="F18" s="59" t="n">
        <v>0.067</v>
      </c>
      <c r="G18" s="59" t="s">
        <v>150</v>
      </c>
      <c r="H18" s="59" t="n">
        <v>0.095</v>
      </c>
      <c r="I18" s="59" t="n">
        <v>20.375</v>
      </c>
      <c r="J18" s="59" t="n">
        <v>128</v>
      </c>
      <c r="K18" s="59" t="n">
        <f aca="false">F18*C18*IF(E18="OpenRouter",$F$3,$F$4)</f>
        <v>35.57097</v>
      </c>
      <c r="L18" s="59" t="n">
        <f aca="false">ROUNDUP(5.014*I18,0)</f>
        <v>103</v>
      </c>
      <c r="M18" s="59" t="n">
        <f aca="false">ROUNDUP(K18*(C18/D18)/($B$4*(1-IF(B18="фикс",$B$6,AH18))),0)</f>
        <v>144</v>
      </c>
      <c r="N18" s="59" t="n">
        <f aca="false">ROUNDUP(H18*C18*IF(G18="OpenRouter",$F$3,$F$4)/$B$4,0)</f>
        <v>145</v>
      </c>
      <c r="O18" s="69" t="n">
        <f aca="false">MAX(L18,M18,N18)</f>
        <v>145</v>
      </c>
      <c r="P18" s="59" t="n">
        <f aca="false">ROUND(O18/C18,0)</f>
        <v>29</v>
      </c>
      <c r="Q18" s="61" t="n">
        <f aca="false">1-K18/(O18*$B$4)</f>
        <v>0.259109378780051</v>
      </c>
      <c r="R18" s="62"/>
      <c r="T18" s="70" t="n">
        <v>20.375</v>
      </c>
      <c r="U18" s="1" t="s">
        <v>169</v>
      </c>
      <c r="V18" s="64" t="n">
        <f aca="false">(4400/O18)/(685.5/T18)-1</f>
        <v>-0.0980658467265273</v>
      </c>
      <c r="W18" s="1" t="n">
        <f aca="false">MAX(ROUNDUP(5.014*T18,0),M18,N18)</f>
        <v>145</v>
      </c>
      <c r="X18" s="64" t="n">
        <f aca="false">(4400/W18)/(685.5/T18)-1</f>
        <v>-0.0980658467265273</v>
      </c>
      <c r="Y18" s="64" t="n">
        <f aca="false">1-K18/(W18*$B$4)</f>
        <v>0.259109378780051</v>
      </c>
      <c r="AA18" s="65" t="n">
        <f aca="false">O18</f>
        <v>145</v>
      </c>
      <c r="AB18" s="1" t="n">
        <f aca="false">C18</f>
        <v>5</v>
      </c>
      <c r="AC18" s="1" t="n">
        <f aca="false">IF(B18="шт","—",P18)</f>
        <v>29</v>
      </c>
      <c r="AD18" s="66" t="s">
        <v>168</v>
      </c>
      <c r="AE18" s="66" t="s">
        <v>153</v>
      </c>
      <c r="AF18" s="66" t="s">
        <v>165</v>
      </c>
      <c r="AG18" s="66" t="s">
        <v>170</v>
      </c>
      <c r="AH18" s="67" t="n">
        <f aca="false">$B$5</f>
        <v>0.25</v>
      </c>
      <c r="AP18" s="1" t="s">
        <v>156</v>
      </c>
      <c r="AQ18" s="1" t="s">
        <v>156</v>
      </c>
    </row>
    <row r="19" customFormat="false" ht="15" hidden="false" customHeight="true" outlineLevel="0" collapsed="false">
      <c r="A19" s="59" t="s">
        <v>174</v>
      </c>
      <c r="B19" s="59" t="s">
        <v>163</v>
      </c>
      <c r="C19" s="59" t="n">
        <v>5</v>
      </c>
      <c r="D19" s="59" t="n">
        <v>5</v>
      </c>
      <c r="E19" s="59" t="s">
        <v>168</v>
      </c>
      <c r="F19" s="59" t="n">
        <v>0.121</v>
      </c>
      <c r="G19" s="59" t="s">
        <v>150</v>
      </c>
      <c r="H19" s="59" t="n">
        <v>0.165</v>
      </c>
      <c r="I19" s="59" t="n">
        <v>36.25</v>
      </c>
      <c r="J19" s="59" t="n">
        <v>208</v>
      </c>
      <c r="K19" s="59" t="n">
        <f aca="false">F19*C19*IF(E19="OpenRouter",$F$3,$F$4)</f>
        <v>64.24011</v>
      </c>
      <c r="L19" s="59" t="n">
        <f aca="false">ROUNDUP(5.014*I19,0)</f>
        <v>182</v>
      </c>
      <c r="M19" s="59" t="n">
        <f aca="false">ROUNDUP(K19*(C19/D19)/($B$4*(1-IF(B19="фикс",$B$6,AH19))),0)</f>
        <v>259</v>
      </c>
      <c r="N19" s="59" t="n">
        <f aca="false">ROUNDUP(H19*C19*IF(G19="OpenRouter",$F$3,$F$4)/$B$4,0)</f>
        <v>251</v>
      </c>
      <c r="O19" s="60" t="n">
        <f aca="false">MAX(L19,M19,N19)</f>
        <v>259</v>
      </c>
      <c r="P19" s="59" t="n">
        <f aca="false">ROUND(O19/C19,0)</f>
        <v>52</v>
      </c>
      <c r="Q19" s="61" t="n">
        <f aca="false">1-K19/(O19*$B$4)</f>
        <v>0.25091189135573</v>
      </c>
      <c r="R19" s="62"/>
      <c r="T19" s="70" t="n">
        <v>36.25</v>
      </c>
      <c r="U19" s="1" t="s">
        <v>172</v>
      </c>
      <c r="V19" s="64" t="n">
        <f aca="false">(4400/O19)/(685.5/T19)-1</f>
        <v>-0.101633674937832</v>
      </c>
      <c r="W19" s="1" t="n">
        <f aca="false">MAX(ROUNDUP(5.014*T19,0),M19,N19)</f>
        <v>259</v>
      </c>
      <c r="X19" s="64" t="n">
        <f aca="false">(4400/W19)/(685.5/T19)-1</f>
        <v>-0.101633674937832</v>
      </c>
      <c r="Y19" s="64" t="n">
        <f aca="false">1-K19/(W19*$B$4)</f>
        <v>0.25091189135573</v>
      </c>
      <c r="AA19" s="65" t="n">
        <f aca="false">O19</f>
        <v>259</v>
      </c>
      <c r="AB19" s="1" t="n">
        <f aca="false">C19</f>
        <v>5</v>
      </c>
      <c r="AC19" s="1" t="n">
        <f aca="false">IF(B19="шт","—",P19)</f>
        <v>52</v>
      </c>
      <c r="AD19" s="66" t="s">
        <v>168</v>
      </c>
      <c r="AE19" s="66" t="s">
        <v>153</v>
      </c>
      <c r="AF19" s="66" t="s">
        <v>165</v>
      </c>
      <c r="AG19" s="66" t="s">
        <v>170</v>
      </c>
      <c r="AH19" s="67" t="n">
        <f aca="false">$B$5</f>
        <v>0.25</v>
      </c>
      <c r="AP19" s="1" t="s">
        <v>156</v>
      </c>
      <c r="AQ19" s="1" t="s">
        <v>156</v>
      </c>
    </row>
    <row r="20" customFormat="false" ht="15" hidden="false" customHeight="true" outlineLevel="0" collapsed="false">
      <c r="A20" s="59" t="s">
        <v>175</v>
      </c>
      <c r="B20" s="59" t="s">
        <v>163</v>
      </c>
      <c r="C20" s="59" t="n">
        <v>5</v>
      </c>
      <c r="D20" s="59" t="n">
        <v>5</v>
      </c>
      <c r="E20" s="59" t="s">
        <v>168</v>
      </c>
      <c r="F20" s="59" t="n">
        <v>0.0538</v>
      </c>
      <c r="G20" s="59" t="s">
        <v>150</v>
      </c>
      <c r="H20" s="59" t="n">
        <v>0.0775</v>
      </c>
      <c r="I20" s="59" t="n">
        <v>16.375</v>
      </c>
      <c r="J20" s="59" t="n">
        <v>98</v>
      </c>
      <c r="K20" s="59" t="n">
        <f aca="false">F20*C20*IF(E20="OpenRouter",$F$3,$F$4)</f>
        <v>28.562958</v>
      </c>
      <c r="L20" s="59" t="n">
        <f aca="false">ROUNDUP(5.014*I20,0)</f>
        <v>83</v>
      </c>
      <c r="M20" s="59" t="n">
        <f aca="false">ROUNDUP(K20*(C20/D20)/($B$4*(1-IF(B20="фикс",$B$6,AH20))),0)</f>
        <v>116</v>
      </c>
      <c r="N20" s="59" t="n">
        <f aca="false">ROUNDUP(H20*C20*IF(G20="OpenRouter",$F$3,$F$4)/$B$4,0)</f>
        <v>118</v>
      </c>
      <c r="O20" s="69" t="n">
        <f aca="false">MAX(L20,M20,N20)</f>
        <v>118</v>
      </c>
      <c r="P20" s="59" t="n">
        <f aca="false">ROUND(O20/C20,0)</f>
        <v>24</v>
      </c>
      <c r="Q20" s="61" t="n">
        <f aca="false">1-K20/(O20*$B$4)</f>
        <v>0.268949185917427</v>
      </c>
      <c r="R20" s="62"/>
      <c r="T20" s="70" t="n">
        <v>16.375</v>
      </c>
      <c r="U20" s="1" t="s">
        <v>169</v>
      </c>
      <c r="V20" s="64" t="n">
        <f aca="false">(4400/O20)/(685.5/T20)-1</f>
        <v>-0.1092732015478</v>
      </c>
      <c r="W20" s="1" t="n">
        <f aca="false">MAX(ROUNDUP(5.014*T20,0),M20,N20)</f>
        <v>118</v>
      </c>
      <c r="X20" s="64" t="n">
        <f aca="false">(4400/W20)/(685.5/T20)-1</f>
        <v>-0.1092732015478</v>
      </c>
      <c r="Y20" s="64" t="n">
        <f aca="false">1-K20/(W20*$B$4)</f>
        <v>0.268949185917427</v>
      </c>
      <c r="AA20" s="65" t="n">
        <f aca="false">O20</f>
        <v>118</v>
      </c>
      <c r="AB20" s="1" t="n">
        <f aca="false">C20</f>
        <v>5</v>
      </c>
      <c r="AC20" s="1" t="n">
        <f aca="false">IF(B20="шт","—",P20)</f>
        <v>24</v>
      </c>
      <c r="AD20" s="66" t="s">
        <v>168</v>
      </c>
      <c r="AE20" s="66" t="s">
        <v>153</v>
      </c>
      <c r="AF20" s="66" t="s">
        <v>165</v>
      </c>
      <c r="AG20" s="66" t="s">
        <v>170</v>
      </c>
      <c r="AH20" s="67" t="n">
        <f aca="false">$B$5</f>
        <v>0.25</v>
      </c>
      <c r="AP20" s="1" t="s">
        <v>156</v>
      </c>
      <c r="AQ20" s="1" t="s">
        <v>156</v>
      </c>
    </row>
    <row r="21" customFormat="false" ht="15" hidden="false" customHeight="true" outlineLevel="0" collapsed="false">
      <c r="A21" s="59" t="s">
        <v>176</v>
      </c>
      <c r="B21" s="59" t="s">
        <v>163</v>
      </c>
      <c r="C21" s="59" t="n">
        <v>5</v>
      </c>
      <c r="D21" s="59" t="n">
        <v>5</v>
      </c>
      <c r="E21" s="59" t="s">
        <v>168</v>
      </c>
      <c r="F21" s="59" t="n">
        <v>0.0988</v>
      </c>
      <c r="G21" s="59" t="s">
        <v>150</v>
      </c>
      <c r="H21" s="59" t="n">
        <v>0.1125</v>
      </c>
      <c r="I21" s="59" t="n">
        <v>25</v>
      </c>
      <c r="J21" s="59" t="n">
        <v>232</v>
      </c>
      <c r="K21" s="59" t="n">
        <f aca="false">F21*C21*IF(E21="OpenRouter",$F$3,$F$4)</f>
        <v>52.453908</v>
      </c>
      <c r="L21" s="59" t="n">
        <f aca="false">ROUNDUP(5.014*I21,0)</f>
        <v>126</v>
      </c>
      <c r="M21" s="59" t="n">
        <f aca="false">ROUNDUP(K21*(C21/D21)/($B$4*(1-IF(B21="фикс",$B$6,AH21))),0)</f>
        <v>212</v>
      </c>
      <c r="N21" s="59" t="n">
        <f aca="false">ROUNDUP(H21*C21*IF(G21="OpenRouter",$F$3,$F$4)/$B$4,0)</f>
        <v>171</v>
      </c>
      <c r="O21" s="60" t="n">
        <f aca="false">MAX(L21,M21,N21)</f>
        <v>212</v>
      </c>
      <c r="P21" s="59" t="n">
        <f aca="false">ROUND(O21/C21,0)</f>
        <v>42</v>
      </c>
      <c r="Q21" s="61" t="n">
        <f aca="false">1-K21/(O21*$B$4)</f>
        <v>0.252745773050057</v>
      </c>
      <c r="R21" s="62"/>
      <c r="T21" s="70" t="n">
        <v>25</v>
      </c>
      <c r="U21" s="1" t="s">
        <v>172</v>
      </c>
      <c r="V21" s="64" t="n">
        <f aca="false">(4400/O21)/(685.5/T21)-1</f>
        <v>-0.243081072898174</v>
      </c>
      <c r="W21" s="1" t="n">
        <f aca="false">MAX(ROUNDUP(5.014*T21,0),M21,N21)</f>
        <v>212</v>
      </c>
      <c r="X21" s="64" t="n">
        <f aca="false">(4400/W21)/(685.5/T21)-1</f>
        <v>-0.243081072898174</v>
      </c>
      <c r="Y21" s="64" t="n">
        <f aca="false">1-K21/(W21*$B$4)</f>
        <v>0.252745773050057</v>
      </c>
      <c r="AA21" s="65" t="n">
        <f aca="false">O21</f>
        <v>212</v>
      </c>
      <c r="AB21" s="1" t="n">
        <f aca="false">C21</f>
        <v>5</v>
      </c>
      <c r="AC21" s="1" t="n">
        <f aca="false">IF(B21="шт","—",P21)</f>
        <v>42</v>
      </c>
      <c r="AD21" s="66" t="s">
        <v>168</v>
      </c>
      <c r="AE21" s="66" t="s">
        <v>153</v>
      </c>
      <c r="AF21" s="66" t="s">
        <v>177</v>
      </c>
      <c r="AG21" s="66" t="s">
        <v>170</v>
      </c>
      <c r="AH21" s="67" t="n">
        <f aca="false">$B$5</f>
        <v>0.25</v>
      </c>
      <c r="AP21" s="1" t="s">
        <v>156</v>
      </c>
      <c r="AQ21" s="1" t="s">
        <v>156</v>
      </c>
    </row>
    <row r="22" customFormat="false" ht="15" hidden="false" customHeight="true" outlineLevel="0" collapsed="false">
      <c r="A22" s="59" t="s">
        <v>178</v>
      </c>
      <c r="B22" s="59" t="s">
        <v>163</v>
      </c>
      <c r="C22" s="59" t="n">
        <v>5</v>
      </c>
      <c r="D22" s="59" t="n">
        <v>5</v>
      </c>
      <c r="E22" s="59" t="s">
        <v>168</v>
      </c>
      <c r="F22" s="59" t="n">
        <v>0.1278</v>
      </c>
      <c r="G22" s="59" t="s">
        <v>150</v>
      </c>
      <c r="H22" s="59" t="n">
        <v>0.145</v>
      </c>
      <c r="I22" s="59" t="n">
        <v>45</v>
      </c>
      <c r="J22" s="59" t="n">
        <v>301</v>
      </c>
      <c r="K22" s="59" t="n">
        <f aca="false">F22*C22*IF(E22="OpenRouter",$F$3,$F$4)</f>
        <v>67.850298</v>
      </c>
      <c r="L22" s="59" t="n">
        <f aca="false">ROUNDUP(5.014*I22,0)</f>
        <v>226</v>
      </c>
      <c r="M22" s="59" t="n">
        <f aca="false">ROUNDUP(K22*(C22/D22)/($B$4*(1-IF(B22="фикс",$B$6,AH22))),0)</f>
        <v>274</v>
      </c>
      <c r="N22" s="59" t="n">
        <f aca="false">ROUNDUP(H22*C22*IF(G22="OpenRouter",$F$3,$F$4)/$B$4,0)</f>
        <v>221</v>
      </c>
      <c r="O22" s="60" t="n">
        <f aca="false">MAX(L22,M22,N22)</f>
        <v>274</v>
      </c>
      <c r="P22" s="59" t="n">
        <f aca="false">ROUND(O22/C22,0)</f>
        <v>55</v>
      </c>
      <c r="Q22" s="61" t="n">
        <f aca="false">1-K22/(O22*$B$4)</f>
        <v>0.252127459318723</v>
      </c>
      <c r="R22" s="62"/>
      <c r="T22" s="70" t="n">
        <v>45</v>
      </c>
      <c r="U22" s="1" t="s">
        <v>172</v>
      </c>
      <c r="V22" s="64" t="n">
        <f aca="false">(4400/O22)/(685.5/T22)-1</f>
        <v>0.0541615422702806</v>
      </c>
      <c r="W22" s="1" t="n">
        <f aca="false">MAX(ROUNDUP(5.014*T22,0),M22,N22)</f>
        <v>274</v>
      </c>
      <c r="X22" s="64" t="n">
        <f aca="false">(4400/W22)/(685.5/T22)-1</f>
        <v>0.0541615422702806</v>
      </c>
      <c r="Y22" s="64" t="n">
        <f aca="false">1-K22/(W22*$B$4)</f>
        <v>0.252127459318723</v>
      </c>
      <c r="AA22" s="65" t="n">
        <f aca="false">O22</f>
        <v>274</v>
      </c>
      <c r="AB22" s="1" t="n">
        <f aca="false">C22</f>
        <v>5</v>
      </c>
      <c r="AC22" s="1" t="n">
        <f aca="false">IF(B22="шт","—",P22)</f>
        <v>55</v>
      </c>
      <c r="AD22" s="66" t="s">
        <v>168</v>
      </c>
      <c r="AE22" s="66" t="s">
        <v>153</v>
      </c>
      <c r="AF22" s="66" t="s">
        <v>177</v>
      </c>
      <c r="AG22" s="66" t="s">
        <v>170</v>
      </c>
      <c r="AH22" s="67" t="n">
        <f aca="false">$B$5</f>
        <v>0.25</v>
      </c>
      <c r="AP22" s="1" t="s">
        <v>156</v>
      </c>
      <c r="AQ22" s="1" t="s">
        <v>156</v>
      </c>
    </row>
    <row r="23" customFormat="false" ht="15" hidden="false" customHeight="true" outlineLevel="0" collapsed="false">
      <c r="A23" s="71" t="s">
        <v>179</v>
      </c>
      <c r="B23" s="71" t="s">
        <v>163</v>
      </c>
      <c r="C23" s="71" t="n">
        <v>5</v>
      </c>
      <c r="D23" s="71" t="n">
        <v>5</v>
      </c>
      <c r="E23" s="71" t="s">
        <v>168</v>
      </c>
      <c r="F23" s="71" t="n">
        <v>0.0988</v>
      </c>
      <c r="G23" s="71" t="s">
        <v>150</v>
      </c>
      <c r="H23" s="71" t="n">
        <v>0.14</v>
      </c>
      <c r="I23" s="71" t="n">
        <v>25</v>
      </c>
      <c r="J23" s="71" t="n">
        <v>232</v>
      </c>
      <c r="K23" s="71" t="n">
        <f aca="false">F23*C23*IF(E23="OpenRouter",$F$3,$F$4)</f>
        <v>52.453908</v>
      </c>
      <c r="L23" s="71" t="n">
        <f aca="false">ROUNDUP(5.014*I23,0)</f>
        <v>126</v>
      </c>
      <c r="M23" s="71" t="n">
        <f aca="false">ROUNDUP(K23*(C23/D23)/($B$4*(1-IF(B23="фикс",$B$6,AH23))),0)</f>
        <v>212</v>
      </c>
      <c r="N23" s="71" t="n">
        <v>0</v>
      </c>
      <c r="O23" s="72" t="n">
        <f aca="false">MAX(L23,M23,N23)</f>
        <v>212</v>
      </c>
      <c r="P23" s="71" t="n">
        <f aca="false">ROUND(O23/C23,0)</f>
        <v>42</v>
      </c>
      <c r="Q23" s="73" t="n">
        <f aca="false">1-K23/(O23*$B$4)</f>
        <v>0.252745773050057</v>
      </c>
      <c r="R23" s="74"/>
      <c r="S23" s="75"/>
      <c r="T23" s="75" t="n">
        <v>25</v>
      </c>
      <c r="U23" s="75" t="s">
        <v>180</v>
      </c>
      <c r="V23" s="76" t="n">
        <f aca="false">(4400/O23)/(685.5/T23)-1</f>
        <v>-0.243081072898174</v>
      </c>
      <c r="W23" s="75" t="n">
        <f aca="false">MAX(ROUNDUP(5.014*T23,0),M23,N23)</f>
        <v>212</v>
      </c>
      <c r="X23" s="76" t="n">
        <f aca="false">(4400/W23)/(685.5/T23)-1</f>
        <v>-0.243081072898174</v>
      </c>
      <c r="Y23" s="76" t="n">
        <f aca="false">1-K23/(W23*$B$4)</f>
        <v>0.252745773050057</v>
      </c>
      <c r="Z23" s="75"/>
      <c r="AA23" s="77" t="n">
        <f aca="false">O23</f>
        <v>212</v>
      </c>
      <c r="AB23" s="75" t="n">
        <f aca="false">C23</f>
        <v>5</v>
      </c>
      <c r="AC23" s="75" t="n">
        <f aca="false">IF(B23="шт","—",P23)</f>
        <v>42</v>
      </c>
      <c r="AD23" s="66" t="s">
        <v>168</v>
      </c>
      <c r="AE23" s="66" t="s">
        <v>153</v>
      </c>
      <c r="AF23" s="66" t="s">
        <v>177</v>
      </c>
      <c r="AG23" s="66" t="s">
        <v>170</v>
      </c>
      <c r="AH23" s="67" t="n">
        <f aca="false">$B$5</f>
        <v>0.25</v>
      </c>
    </row>
    <row r="24" customFormat="false" ht="15" hidden="false" customHeight="true" outlineLevel="0" collapsed="false">
      <c r="A24" s="71" t="s">
        <v>181</v>
      </c>
      <c r="B24" s="71" t="s">
        <v>163</v>
      </c>
      <c r="C24" s="71" t="n">
        <v>5</v>
      </c>
      <c r="D24" s="71" t="n">
        <v>5</v>
      </c>
      <c r="E24" s="71" t="s">
        <v>168</v>
      </c>
      <c r="F24" s="71" t="n">
        <v>0.1694</v>
      </c>
      <c r="G24" s="71" t="s">
        <v>150</v>
      </c>
      <c r="H24" s="71" t="n">
        <v>0.24</v>
      </c>
      <c r="I24" s="71" t="n">
        <v>45</v>
      </c>
      <c r="J24" s="71" t="n">
        <v>400</v>
      </c>
      <c r="K24" s="71" t="n">
        <f aca="false">F24*C24*IF(E24="OpenRouter",$F$3,$F$4)</f>
        <v>89.936154</v>
      </c>
      <c r="L24" s="71" t="n">
        <f aca="false">ROUNDUP(5.014*I24,0)</f>
        <v>226</v>
      </c>
      <c r="M24" s="71" t="n">
        <f aca="false">ROUNDUP(K24*(C24/D24)/($B$4*(1-IF(B24="фикс",$B$6,AH24))),0)</f>
        <v>363</v>
      </c>
      <c r="N24" s="71" t="n">
        <f aca="false">ROUNDUP(H24*C24*IF(G24="OpenRouter",$F$3,$F$4)/$B$4,0)</f>
        <v>365</v>
      </c>
      <c r="O24" s="78" t="n">
        <f aca="false">MAX(L24,M24,N24)</f>
        <v>365</v>
      </c>
      <c r="P24" s="71" t="n">
        <f aca="false">ROUND(O24/C24,0)</f>
        <v>73</v>
      </c>
      <c r="Q24" s="73" t="n">
        <f aca="false">1-K24/(O24*$B$4)</f>
        <v>0.25583740220709</v>
      </c>
      <c r="R24" s="74"/>
      <c r="S24" s="75"/>
      <c r="T24" s="75" t="n">
        <v>45</v>
      </c>
      <c r="U24" s="75" t="s">
        <v>182</v>
      </c>
      <c r="V24" s="76" t="n">
        <f aca="false">(4400/O24)/(685.5/T24)-1</f>
        <v>-0.20865681484368</v>
      </c>
      <c r="W24" s="75" t="n">
        <f aca="false">MAX(ROUNDUP(5.014*T24,0),M24,N24)</f>
        <v>365</v>
      </c>
      <c r="X24" s="76" t="n">
        <f aca="false">(4400/W24)/(685.5/T24)-1</f>
        <v>-0.20865681484368</v>
      </c>
      <c r="Y24" s="76" t="n">
        <f aca="false">1-K24/(W24*$B$4)</f>
        <v>0.25583740220709</v>
      </c>
      <c r="Z24" s="75"/>
      <c r="AA24" s="77" t="n">
        <f aca="false">O24</f>
        <v>365</v>
      </c>
      <c r="AB24" s="75" t="n">
        <f aca="false">C24</f>
        <v>5</v>
      </c>
      <c r="AC24" s="75" t="n">
        <f aca="false">IF(B24="шт","—",P24)</f>
        <v>73</v>
      </c>
      <c r="AD24" s="66" t="s">
        <v>168</v>
      </c>
      <c r="AE24" s="66" t="s">
        <v>153</v>
      </c>
      <c r="AF24" s="66" t="s">
        <v>177</v>
      </c>
      <c r="AG24" s="66" t="s">
        <v>170</v>
      </c>
      <c r="AH24" s="67" t="n">
        <f aca="false">$B$5</f>
        <v>0.25</v>
      </c>
    </row>
    <row r="25" customFormat="false" ht="15" hidden="false" customHeight="true" outlineLevel="0" collapsed="false">
      <c r="A25" s="59" t="s">
        <v>183</v>
      </c>
      <c r="B25" s="59" t="s">
        <v>163</v>
      </c>
      <c r="C25" s="59" t="n">
        <v>5</v>
      </c>
      <c r="D25" s="59" t="n">
        <v>5</v>
      </c>
      <c r="E25" s="59" t="s">
        <v>150</v>
      </c>
      <c r="F25" s="59" t="n">
        <v>0.08</v>
      </c>
      <c r="G25" s="59" t="s">
        <v>168</v>
      </c>
      <c r="H25" s="59" t="n">
        <v>0.1</v>
      </c>
      <c r="I25" s="59" t="n">
        <v>30</v>
      </c>
      <c r="J25" s="59" t="n">
        <v>300</v>
      </c>
      <c r="K25" s="59" t="n">
        <f aca="false">F25*C25*IF(E25="OpenRouter",$F$3,$F$4)</f>
        <v>40.2526</v>
      </c>
      <c r="L25" s="59" t="n">
        <f aca="false">ROUNDUP(5.014*I25,0)</f>
        <v>151</v>
      </c>
      <c r="M25" s="59" t="n">
        <f aca="false">ROUNDUP(K25*(C25/D25)/($B$4*(1-IF(B25="фикс",$B$6,AH25))),0)</f>
        <v>163</v>
      </c>
      <c r="N25" s="59" t="n">
        <f aca="false">ROUNDUP(H25*C25*IF(G25="OpenRouter",$F$3,$F$4)/$B$4,0)</f>
        <v>161</v>
      </c>
      <c r="O25" s="60" t="n">
        <f aca="false">MAX(L25,M25,N25)</f>
        <v>163</v>
      </c>
      <c r="P25" s="59" t="n">
        <f aca="false">ROUND(O25/C25,0)</f>
        <v>33</v>
      </c>
      <c r="Q25" s="61" t="n">
        <f aca="false">1-K25/(O25*$B$4)</f>
        <v>0.254182234182287</v>
      </c>
      <c r="R25" s="62"/>
      <c r="T25" s="70" t="n">
        <v>30</v>
      </c>
      <c r="U25" s="1" t="s">
        <v>172</v>
      </c>
      <c r="V25" s="64" t="n">
        <f aca="false">(4400/O25)/(685.5/T25)-1</f>
        <v>0.181350767206777</v>
      </c>
      <c r="W25" s="1" t="n">
        <f aca="false">MAX(ROUNDUP(5.014*T25,0),M25,N25)</f>
        <v>163</v>
      </c>
      <c r="X25" s="64" t="n">
        <f aca="false">(4400/W25)/(685.5/T25)-1</f>
        <v>0.181350767206777</v>
      </c>
      <c r="Y25" s="64" t="n">
        <f aca="false">1-K25/(W25*$B$4)</f>
        <v>0.254182234182287</v>
      </c>
      <c r="AA25" s="65" t="n">
        <f aca="false">O25</f>
        <v>163</v>
      </c>
      <c r="AB25" s="1" t="n">
        <f aca="false">C25</f>
        <v>5</v>
      </c>
      <c r="AC25" s="1" t="n">
        <f aca="false">IF(B25="шт","—",P25)</f>
        <v>33</v>
      </c>
      <c r="AD25" s="66" t="s">
        <v>153</v>
      </c>
      <c r="AE25" s="66" t="s">
        <v>168</v>
      </c>
      <c r="AF25" s="66" t="s">
        <v>184</v>
      </c>
      <c r="AG25" s="66" t="s">
        <v>170</v>
      </c>
      <c r="AH25" s="67" t="n">
        <f aca="false">$B$5</f>
        <v>0.25</v>
      </c>
      <c r="AP25" s="1" t="s">
        <v>156</v>
      </c>
      <c r="AQ25" s="1" t="s">
        <v>156</v>
      </c>
    </row>
    <row r="26" customFormat="false" ht="15" hidden="false" customHeight="true" outlineLevel="0" collapsed="false">
      <c r="A26" s="59" t="s">
        <v>185</v>
      </c>
      <c r="B26" s="59" t="s">
        <v>163</v>
      </c>
      <c r="C26" s="59" t="n">
        <v>5</v>
      </c>
      <c r="D26" s="59" t="n">
        <v>5</v>
      </c>
      <c r="E26" s="59" t="s">
        <v>150</v>
      </c>
      <c r="F26" s="59" t="n">
        <v>0.12</v>
      </c>
      <c r="G26" s="59" t="s">
        <v>168</v>
      </c>
      <c r="H26" s="59" t="n">
        <v>0.15</v>
      </c>
      <c r="I26" s="59" t="n">
        <v>40</v>
      </c>
      <c r="J26" s="59" t="n">
        <v>300</v>
      </c>
      <c r="K26" s="59" t="n">
        <f aca="false">F26*C26*IF(E26="OpenRouter",$F$3,$F$4)</f>
        <v>60.3789</v>
      </c>
      <c r="L26" s="59" t="n">
        <f aca="false">ROUNDUP(5.014*I26,0)</f>
        <v>201</v>
      </c>
      <c r="M26" s="59" t="n">
        <f aca="false">ROUNDUP(K26*(C26/D26)/($B$4*(1-IF(B26="фикс",$B$6,AH26))),0)</f>
        <v>244</v>
      </c>
      <c r="N26" s="59" t="n">
        <f aca="false">ROUNDUP(H26*C26*IF(G26="OpenRouter",$F$3,$F$4)/$B$4,0)</f>
        <v>241</v>
      </c>
      <c r="O26" s="60" t="n">
        <f aca="false">MAX(L26,M26,N26)</f>
        <v>244</v>
      </c>
      <c r="P26" s="59" t="n">
        <f aca="false">ROUND(O26/C26,0)</f>
        <v>49</v>
      </c>
      <c r="Q26" s="61" t="n">
        <f aca="false">1-K26/(O26*$B$4)</f>
        <v>0.252653919088398</v>
      </c>
      <c r="R26" s="62"/>
      <c r="T26" s="70" t="n">
        <v>40</v>
      </c>
      <c r="U26" s="1" t="s">
        <v>172</v>
      </c>
      <c r="V26" s="64" t="n">
        <f aca="false">(4400/O26)/(685.5/T26)-1</f>
        <v>0.0522413937415551</v>
      </c>
      <c r="W26" s="1" t="n">
        <f aca="false">MAX(ROUNDUP(5.014*T26,0),M26,N26)</f>
        <v>244</v>
      </c>
      <c r="X26" s="64" t="n">
        <f aca="false">(4400/W26)/(685.5/T26)-1</f>
        <v>0.0522413937415551</v>
      </c>
      <c r="Y26" s="64" t="n">
        <f aca="false">1-K26/(W26*$B$4)</f>
        <v>0.252653919088398</v>
      </c>
      <c r="AA26" s="65" t="n">
        <f aca="false">O26</f>
        <v>244</v>
      </c>
      <c r="AB26" s="1" t="n">
        <f aca="false">C26</f>
        <v>5</v>
      </c>
      <c r="AC26" s="1" t="n">
        <f aca="false">IF(B26="шт","—",P26)</f>
        <v>49</v>
      </c>
      <c r="AD26" s="66" t="s">
        <v>153</v>
      </c>
      <c r="AE26" s="66" t="s">
        <v>168</v>
      </c>
      <c r="AF26" s="66" t="s">
        <v>184</v>
      </c>
      <c r="AG26" s="66" t="s">
        <v>170</v>
      </c>
      <c r="AH26" s="67" t="n">
        <f aca="false">$B$5</f>
        <v>0.25</v>
      </c>
      <c r="AP26" s="1" t="s">
        <v>156</v>
      </c>
      <c r="AQ26" s="1" t="s">
        <v>156</v>
      </c>
    </row>
    <row r="27" customFormat="false" ht="15" hidden="false" customHeight="true" outlineLevel="0" collapsed="false">
      <c r="A27" s="59" t="s">
        <v>186</v>
      </c>
      <c r="B27" s="59" t="s">
        <v>163</v>
      </c>
      <c r="C27" s="59" t="n">
        <v>5</v>
      </c>
      <c r="D27" s="59" t="n">
        <v>5</v>
      </c>
      <c r="E27" s="59" t="s">
        <v>168</v>
      </c>
      <c r="F27" s="59" t="n">
        <v>0.126</v>
      </c>
      <c r="G27" s="59" t="s">
        <v>151</v>
      </c>
      <c r="H27" s="59" t="s">
        <v>151</v>
      </c>
      <c r="I27" s="59" t="n">
        <v>25</v>
      </c>
      <c r="J27" s="59" t="n">
        <v>350</v>
      </c>
      <c r="K27" s="59" t="n">
        <f aca="false">F27*C27*IF(E27="OpenRouter",$F$3,$F$4)</f>
        <v>66.89466</v>
      </c>
      <c r="L27" s="59" t="n">
        <f aca="false">ROUNDUP(5.014*I27,0)</f>
        <v>126</v>
      </c>
      <c r="M27" s="59" t="n">
        <f aca="false">ROUNDUP(K27*(C27/D27)/($B$4*(1-IF(B27="фикс",$B$6,AH27))),0)</f>
        <v>270</v>
      </c>
      <c r="N27" s="59" t="n">
        <v>0</v>
      </c>
      <c r="O27" s="60" t="n">
        <f aca="false">MAX(L27,M27,N27)</f>
        <v>270</v>
      </c>
      <c r="P27" s="59" t="n">
        <f aca="false">ROUND(O27/C27,0)</f>
        <v>54</v>
      </c>
      <c r="Q27" s="61" t="n">
        <f aca="false">1-K27/(O27*$B$4)</f>
        <v>0.251737332797763</v>
      </c>
      <c r="R27" s="62"/>
      <c r="U27" s="63" t="s">
        <v>187</v>
      </c>
      <c r="AA27" s="65" t="n">
        <f aca="false">O27</f>
        <v>270</v>
      </c>
      <c r="AB27" s="1" t="n">
        <f aca="false">C27</f>
        <v>5</v>
      </c>
      <c r="AC27" s="1" t="n">
        <f aca="false">IF(B27="шт","—",P27)</f>
        <v>54</v>
      </c>
      <c r="AD27" s="66" t="s">
        <v>168</v>
      </c>
      <c r="AE27" s="66" t="s">
        <v>151</v>
      </c>
      <c r="AF27" s="66" t="s">
        <v>188</v>
      </c>
      <c r="AG27" s="66" t="s">
        <v>189</v>
      </c>
      <c r="AH27" s="67" t="n">
        <f aca="false">$B$5</f>
        <v>0.25</v>
      </c>
      <c r="AP27" s="1" t="s">
        <v>156</v>
      </c>
    </row>
    <row r="28" customFormat="false" ht="15" hidden="false" customHeight="true" outlineLevel="0" collapsed="false">
      <c r="A28" s="59" t="s">
        <v>190</v>
      </c>
      <c r="B28" s="59" t="s">
        <v>163</v>
      </c>
      <c r="C28" s="59" t="n">
        <v>6</v>
      </c>
      <c r="D28" s="59" t="n">
        <v>6</v>
      </c>
      <c r="E28" s="59" t="s">
        <v>150</v>
      </c>
      <c r="F28" s="59" t="n">
        <v>0.0225</v>
      </c>
      <c r="G28" s="59" t="s">
        <v>151</v>
      </c>
      <c r="H28" s="59" t="s">
        <v>151</v>
      </c>
      <c r="I28" s="59" t="n">
        <v>8</v>
      </c>
      <c r="J28" s="59" t="n">
        <v>45</v>
      </c>
      <c r="K28" s="59" t="n">
        <f aca="false">F28*C28*IF(E28="OpenRouter",$F$3,$F$4)</f>
        <v>13.5852525</v>
      </c>
      <c r="L28" s="59" t="n">
        <f aca="false">ROUNDUP(5.014*I28,0)</f>
        <v>41</v>
      </c>
      <c r="M28" s="59" t="n">
        <f aca="false">ROUNDUP(K28*(C28/D28)/($B$4*(1-IF(B28="фикс",$B$6,AH28))),0)</f>
        <v>69</v>
      </c>
      <c r="N28" s="59" t="n">
        <v>0</v>
      </c>
      <c r="O28" s="60" t="n">
        <f aca="false">MAX(L28,M28,N28)</f>
        <v>69</v>
      </c>
      <c r="P28" s="59" t="n">
        <f aca="false">ROUND(O28/C28,0)</f>
        <v>12</v>
      </c>
      <c r="Q28" s="61" t="n">
        <f aca="false">1-K28/(O28*$B$4)</f>
        <v>0.405372466057291</v>
      </c>
      <c r="R28" s="62"/>
      <c r="T28" s="70" t="n">
        <v>8</v>
      </c>
      <c r="U28" s="1" t="s">
        <v>191</v>
      </c>
      <c r="V28" s="64" t="n">
        <f aca="false">(4400/O28)/(685.5/T28)-1</f>
        <v>-0.255806086745103</v>
      </c>
      <c r="W28" s="1" t="n">
        <f aca="false">MAX(ROUNDUP(5.014*T28,0),M28,N28)</f>
        <v>69</v>
      </c>
      <c r="X28" s="64" t="n">
        <f aca="false">(4400/W28)/(685.5/T28)-1</f>
        <v>-0.255806086745103</v>
      </c>
      <c r="Y28" s="64" t="n">
        <f aca="false">1-K28/(W28*$B$4)</f>
        <v>0.405372466057291</v>
      </c>
      <c r="AA28" s="65" t="n">
        <f aca="false">O28</f>
        <v>69</v>
      </c>
      <c r="AB28" s="1" t="n">
        <f aca="false">C28</f>
        <v>6</v>
      </c>
      <c r="AC28" s="1" t="n">
        <f aca="false">IF(B28="шт","—",P28)</f>
        <v>12</v>
      </c>
      <c r="AD28" s="66" t="s">
        <v>153</v>
      </c>
      <c r="AE28" s="66" t="s">
        <v>151</v>
      </c>
      <c r="AF28" s="66" t="s">
        <v>192</v>
      </c>
      <c r="AG28" s="66" t="s">
        <v>193</v>
      </c>
      <c r="AH28" s="79" t="n">
        <v>0.4</v>
      </c>
      <c r="AP28" s="1" t="s">
        <v>156</v>
      </c>
    </row>
    <row r="29" customFormat="false" ht="15" hidden="false" customHeight="true" outlineLevel="0" collapsed="false">
      <c r="A29" s="59" t="s">
        <v>194</v>
      </c>
      <c r="B29" s="59" t="s">
        <v>163</v>
      </c>
      <c r="C29" s="59" t="n">
        <v>6</v>
      </c>
      <c r="D29" s="59" t="n">
        <v>6</v>
      </c>
      <c r="E29" s="59" t="s">
        <v>150</v>
      </c>
      <c r="F29" s="59" t="n">
        <v>0.012</v>
      </c>
      <c r="G29" s="59" t="s">
        <v>151</v>
      </c>
      <c r="H29" s="59" t="s">
        <v>151</v>
      </c>
      <c r="I29" s="59" t="n">
        <v>5</v>
      </c>
      <c r="J29" s="59" t="n">
        <v>24</v>
      </c>
      <c r="K29" s="59" t="n">
        <f aca="false">F29*C29*IF(E29="OpenRouter",$F$3,$F$4)</f>
        <v>7.245468</v>
      </c>
      <c r="L29" s="59" t="n">
        <f aca="false">ROUNDUP(5.014*I29,0)</f>
        <v>26</v>
      </c>
      <c r="M29" s="59" t="n">
        <f aca="false">ROUNDUP(K29*(C29/D29)/($B$4*(1-IF(B29="фикс",$B$6,AH29))),0)</f>
        <v>37</v>
      </c>
      <c r="N29" s="59" t="n">
        <v>0</v>
      </c>
      <c r="O29" s="60" t="n">
        <f aca="false">MAX(L29,M29,N29)</f>
        <v>37</v>
      </c>
      <c r="P29" s="59" t="n">
        <f aca="false">ROUND(O29/C29,0)</f>
        <v>6</v>
      </c>
      <c r="Q29" s="61" t="n">
        <f aca="false">1-K29/(O29*$B$4)</f>
        <v>0.408586668943468</v>
      </c>
      <c r="R29" s="62"/>
      <c r="T29" s="70" t="n">
        <v>5</v>
      </c>
      <c r="U29" s="1" t="s">
        <v>191</v>
      </c>
      <c r="V29" s="64" t="n">
        <f aca="false">(4400/O29)/(685.5/T29)-1</f>
        <v>-0.132611824077907</v>
      </c>
      <c r="W29" s="1" t="n">
        <f aca="false">MAX(ROUNDUP(5.014*T29,0),M29,N29)</f>
        <v>37</v>
      </c>
      <c r="X29" s="64" t="n">
        <f aca="false">(4400/W29)/(685.5/T29)-1</f>
        <v>-0.132611824077907</v>
      </c>
      <c r="Y29" s="64" t="n">
        <f aca="false">1-K29/(W29*$B$4)</f>
        <v>0.408586668943468</v>
      </c>
      <c r="AA29" s="65" t="n">
        <f aca="false">O29</f>
        <v>37</v>
      </c>
      <c r="AB29" s="1" t="n">
        <f aca="false">C29</f>
        <v>6</v>
      </c>
      <c r="AC29" s="1" t="n">
        <f aca="false">IF(B29="шт","—",P29)</f>
        <v>6</v>
      </c>
      <c r="AD29" s="66" t="s">
        <v>153</v>
      </c>
      <c r="AE29" s="66" t="s">
        <v>151</v>
      </c>
      <c r="AF29" s="66" t="s">
        <v>192</v>
      </c>
      <c r="AG29" s="66" t="s">
        <v>193</v>
      </c>
      <c r="AH29" s="79" t="n">
        <v>0.4</v>
      </c>
      <c r="AP29" s="1" t="s">
        <v>156</v>
      </c>
    </row>
    <row r="30" customFormat="false" ht="15" hidden="false" customHeight="true" outlineLevel="0" collapsed="false">
      <c r="A30" s="59" t="s">
        <v>195</v>
      </c>
      <c r="B30" s="59" t="s">
        <v>163</v>
      </c>
      <c r="C30" s="59" t="n">
        <v>8</v>
      </c>
      <c r="D30" s="59" t="n">
        <v>8</v>
      </c>
      <c r="E30" s="59" t="s">
        <v>150</v>
      </c>
      <c r="F30" s="59" t="n">
        <v>0.079</v>
      </c>
      <c r="G30" s="59" t="s">
        <v>150</v>
      </c>
      <c r="H30" s="59" t="n">
        <v>0.112</v>
      </c>
      <c r="I30" s="59" t="n">
        <v>28</v>
      </c>
      <c r="J30" s="59" t="n">
        <v>282</v>
      </c>
      <c r="K30" s="59" t="n">
        <f aca="false">F30*C30*IF(E30="OpenRouter",$F$3,$F$4)</f>
        <v>63.599108</v>
      </c>
      <c r="L30" s="59" t="n">
        <f aca="false">ROUNDUP(5.014*I30,0)</f>
        <v>141</v>
      </c>
      <c r="M30" s="59" t="n">
        <f aca="false">ROUNDUP(K30*(C30/D30)/($B$4*(1-IF(B30="фикс",$B$6,AH30))),0)</f>
        <v>257</v>
      </c>
      <c r="N30" s="59" t="n">
        <f aca="false">ROUNDUP(H30*C30*IF(G30="OpenRouter",$F$3,$F$4)/$B$4,0)</f>
        <v>273</v>
      </c>
      <c r="O30" s="69" t="n">
        <f aca="false">MAX(L30,M30,N30)</f>
        <v>273</v>
      </c>
      <c r="P30" s="59" t="n">
        <f aca="false">ROUND(O30/C30,0)</f>
        <v>34</v>
      </c>
      <c r="Q30" s="61" t="n">
        <f aca="false">1-K30/(O30*$B$4)</f>
        <v>0.296417921579876</v>
      </c>
      <c r="R30" s="62"/>
      <c r="U30" s="63" t="s">
        <v>196</v>
      </c>
      <c r="AA30" s="65" t="n">
        <f aca="false">O30</f>
        <v>273</v>
      </c>
      <c r="AB30" s="1" t="n">
        <f aca="false">C30</f>
        <v>8</v>
      </c>
      <c r="AC30" s="1" t="n">
        <f aca="false">IF(B30="шт","—",P30)</f>
        <v>34</v>
      </c>
      <c r="AD30" s="66" t="s">
        <v>153</v>
      </c>
      <c r="AE30" s="66" t="s">
        <v>197</v>
      </c>
      <c r="AF30" s="66" t="s">
        <v>198</v>
      </c>
      <c r="AG30" s="68" t="s">
        <v>199</v>
      </c>
      <c r="AH30" s="67" t="n">
        <f aca="false">$B$5</f>
        <v>0.25</v>
      </c>
      <c r="AI30" s="80" t="s">
        <v>200</v>
      </c>
      <c r="AP30" s="1" t="s">
        <v>156</v>
      </c>
      <c r="AQ30" s="1" t="s">
        <v>156</v>
      </c>
    </row>
    <row r="31" customFormat="false" ht="15" hidden="false" customHeight="true" outlineLevel="0" collapsed="false">
      <c r="A31" s="59" t="s">
        <v>201</v>
      </c>
      <c r="B31" s="59" t="s">
        <v>202</v>
      </c>
      <c r="C31" s="59" t="n">
        <v>1</v>
      </c>
      <c r="D31" s="59" t="n">
        <v>1</v>
      </c>
      <c r="E31" s="59" t="s">
        <v>150</v>
      </c>
      <c r="F31" s="59" t="n">
        <v>0.02</v>
      </c>
      <c r="G31" s="59" t="inlineStr">
        <is>
          <t xml:space="preserve">direct</t>
        </is>
      </c>
      <c r="H31" s="59">
        <v>0.02</v>
      </c>
      <c r="I31" s="59" t="n">
        <v>1.5</v>
      </c>
      <c r="J31" s="59" t="n">
        <v>15</v>
      </c>
      <c r="K31" s="59" t="n">
        <f aca="false">F31*C31*IF(E31="OpenRouter",$F$3,$F$4)</f>
        <v>2.01263</v>
      </c>
      <c r="L31" s="59" t="n">
        <f aca="false">ROUNDUP(5.014*I31,0)</f>
        <v>8</v>
      </c>
      <c r="M31" s="59" t="n">
        <f aca="false">ROUNDUP(K31*(C31/D31)/($B$4*(1-IF(B31="фикс",$B$6,AH31))),0)</f>
        <v>9</v>
      </c>
      <c r="N31" s="59" t="n">
        <v>0</v>
      </c>
      <c r="O31" s="60" t="n">
        <f aca="false">MAX(L31,M31,N31)</f>
        <v>9</v>
      </c>
      <c r="P31" s="59" t="n">
        <f aca="false">ROUND(O31/C31,0)</f>
        <v>9</v>
      </c>
      <c r="Q31" s="61" t="n">
        <f aca="false">1-K31/(O31*$B$4)</f>
        <v>0.324620578731738</v>
      </c>
      <c r="R31" s="62"/>
      <c r="U31" s="63" t="inlineStr">
        <is>
          <t xml:space="preserve">Kie fallback google/nano-banana $0.02/img; owner list 2026-07-25; t2i route connected.</t>
        </is>
      </c>
      <c r="AA31" s="65" t="n">
        <f aca="false">O31</f>
        <v>9</v>
      </c>
      <c r="AB31" s="1" t="n">
        <f aca="false">C31</f>
        <v>1</v>
      </c>
      <c r="AC31" s="1" t="n">
        <f aca="false">IF(B31="шт","—",P31)</f>
        <v>9</v>
      </c>
      <c r="AD31" s="66" t="s">
        <v>204</v>
      </c>
      <c r="AE31" s="66" t="inlineStr">
        <is>
          <t xml:space="preserve">Kie</t>
        </is>
      </c>
      <c r="AF31" s="66" t="s">
        <v>205</v>
      </c>
      <c r="AG31" s="81" t="s">
        <v>206</v>
      </c>
      <c r="AH31" s="67" t="n">
        <f aca="false">$B$5</f>
        <v>0.25</v>
      </c>
      <c r="AP31" s="1" t="s">
        <v>156</v>
      </c>
      <c r="AQ31" s="59" t="inlineStr">
        <is>
          <t xml:space="preserve">да</t>
        </is>
      </c>
    </row>
    <row r="32" customFormat="false" ht="15" hidden="false" customHeight="true" outlineLevel="0" collapsed="false">
      <c r="A32" s="59" t="s">
        <v>207</v>
      </c>
      <c r="B32" s="59" t="s">
        <v>202</v>
      </c>
      <c r="C32" s="59" t="n">
        <v>1</v>
      </c>
      <c r="D32" s="59" t="n">
        <v>1</v>
      </c>
      <c r="E32" s="59" t="s">
        <v>150</v>
      </c>
      <c r="F32" s="59" t="n">
        <v>0.04</v>
      </c>
      <c r="G32" s="59" t="s">
        <v>150</v>
      </c>
      <c r="H32" s="59" t="n">
        <v>0.055</v>
      </c>
      <c r="I32" s="59" t="n">
        <v>3</v>
      </c>
      <c r="J32" s="59" t="n">
        <v>25</v>
      </c>
      <c r="K32" s="59" t="n">
        <f aca="false">F32*C32*IF(E32="OpenRouter",$F$3,$F$4)</f>
        <v>4.02526</v>
      </c>
      <c r="L32" s="59" t="n">
        <f aca="false">ROUNDUP(5.014*I32,0)</f>
        <v>16</v>
      </c>
      <c r="M32" s="59" t="n">
        <f aca="false">ROUNDUP(K32*(C32/D32)/($B$4*(1-IF(B32="фикс",$B$6,AH32))),0)</f>
        <v>17</v>
      </c>
      <c r="N32" s="59" t="n">
        <f aca="false">ROUNDUP(H32*C32*IF(G32="OpenRouter",$F$3,$F$4)/$B$4,0)</f>
        <v>17</v>
      </c>
      <c r="O32" s="60" t="n">
        <f aca="false">MAX(L32,M32,N32)</f>
        <v>17</v>
      </c>
      <c r="P32" s="59" t="n">
        <f aca="false">ROUND(O32/C32,0)</f>
        <v>17</v>
      </c>
      <c r="Q32" s="61" t="n">
        <f aca="false">1-K32/(O32*$B$4)</f>
        <v>0.284892377480664</v>
      </c>
      <c r="R32" s="62"/>
      <c r="U32" s="63" t="s">
        <v>208</v>
      </c>
      <c r="Z32" s="1" t="n">
        <v>0</v>
      </c>
      <c r="AA32" s="65" t="n">
        <f aca="false">O32</f>
        <v>17</v>
      </c>
      <c r="AB32" s="1" t="n">
        <f aca="false">C32</f>
        <v>1</v>
      </c>
      <c r="AC32" s="1" t="n">
        <f aca="false">IF(B32="шт","—",P32)</f>
        <v>17</v>
      </c>
      <c r="AD32" s="66" t="s">
        <v>153</v>
      </c>
      <c r="AE32" s="66" t="s">
        <v>204</v>
      </c>
      <c r="AF32" s="66" t="s">
        <v>209</v>
      </c>
      <c r="AG32" s="66" t="s">
        <v>170</v>
      </c>
      <c r="AH32" s="67" t="n">
        <f aca="false">$B$5</f>
        <v>0.25</v>
      </c>
      <c r="AP32" s="1" t="s">
        <v>156</v>
      </c>
      <c r="AQ32" s="1" t="s">
        <v>156</v>
      </c>
    </row>
    <row r="33" customFormat="false" ht="15" hidden="false" customHeight="true" outlineLevel="0" collapsed="false">
      <c r="A33" s="59" t="s">
        <v>210</v>
      </c>
      <c r="B33" s="59" t="s">
        <v>202</v>
      </c>
      <c r="C33" s="59" t="n">
        <v>1</v>
      </c>
      <c r="D33" s="59" t="n">
        <v>1</v>
      </c>
      <c r="E33" s="59" t="s">
        <v>150</v>
      </c>
      <c r="F33" s="59" t="n">
        <v>0.02</v>
      </c>
      <c r="G33" s="59" t="s">
        <v>150</v>
      </c>
      <c r="H33" s="59" t="n">
        <v>0.025</v>
      </c>
      <c r="I33" s="59" t="n">
        <v>1.3</v>
      </c>
      <c r="J33" s="59" t="n">
        <v>12</v>
      </c>
      <c r="K33" s="59" t="n">
        <f aca="false">F33*C33*IF(E33="OpenRouter",$F$3,$F$4)</f>
        <v>2.01263</v>
      </c>
      <c r="L33" s="59" t="n">
        <f aca="false">ROUNDUP(5.014*I33,0)</f>
        <v>7</v>
      </c>
      <c r="M33" s="59" t="n">
        <f aca="false">ROUNDUP(K33*(C33/D33)/($B$4*(1-IF(B33="фикс",$B$6,AH33))),0)</f>
        <v>9</v>
      </c>
      <c r="N33" s="59" t="n">
        <f aca="false">ROUNDUP(H33*C33*IF(G33="OpenRouter",$F$3,$F$4)/$B$4,0)</f>
        <v>8</v>
      </c>
      <c r="O33" s="60" t="n">
        <f aca="false">MAX(L33,M33,N33)</f>
        <v>9</v>
      </c>
      <c r="P33" s="59" t="n">
        <f aca="false">ROUND(O33/C33,0)</f>
        <v>9</v>
      </c>
      <c r="Q33" s="61" t="n">
        <f aca="false">1-K33/(O33*$B$4)</f>
        <v>0.324620578731738</v>
      </c>
      <c r="R33" s="62"/>
      <c r="U33" s="63" t="s">
        <v>208</v>
      </c>
      <c r="AA33" s="65" t="n">
        <f aca="false">O33</f>
        <v>9</v>
      </c>
      <c r="AB33" s="1" t="n">
        <f aca="false">C33</f>
        <v>1</v>
      </c>
      <c r="AC33" s="1" t="n">
        <f aca="false">IF(B33="шт","—",P33)</f>
        <v>9</v>
      </c>
      <c r="AD33" s="66" t="s">
        <v>153</v>
      </c>
      <c r="AE33" s="66" t="s">
        <v>204</v>
      </c>
      <c r="AF33" s="66" t="s">
        <v>210</v>
      </c>
      <c r="AG33" s="66" t="s">
        <v>170</v>
      </c>
      <c r="AH33" s="67" t="n">
        <f aca="false">$B$5</f>
        <v>0.25</v>
      </c>
      <c r="AP33" s="1" t="s">
        <v>156</v>
      </c>
      <c r="AQ33" s="1" t="s">
        <v>156</v>
      </c>
    </row>
    <row r="34" customFormat="false" ht="15" hidden="false" customHeight="true" outlineLevel="0" collapsed="false">
      <c r="A34" s="59" t="s">
        <v>211</v>
      </c>
      <c r="B34" s="59" t="s">
        <v>202</v>
      </c>
      <c r="C34" s="59" t="n">
        <v>1</v>
      </c>
      <c r="D34" s="59" t="n">
        <v>1</v>
      </c>
      <c r="E34" s="59" t="s">
        <v>150</v>
      </c>
      <c r="F34" s="59" t="n">
        <v>0.09</v>
      </c>
      <c r="G34" s="59" t="s">
        <v>151</v>
      </c>
      <c r="H34" s="59" t="s">
        <v>151</v>
      </c>
      <c r="I34" s="59" t="n">
        <v>2</v>
      </c>
      <c r="J34" s="59" t="n">
        <v>40</v>
      </c>
      <c r="K34" s="59" t="n">
        <f aca="false">F34*C34*IF(E34="OpenRouter",$F$3,$F$4)</f>
        <v>9.056835</v>
      </c>
      <c r="L34" s="59" t="n">
        <f aca="false">ROUNDUP(5.014*I34,0)</f>
        <v>11</v>
      </c>
      <c r="M34" s="59" t="n">
        <f aca="false">ROUNDUP(K34*(C34/D34)/($B$4*(1-IF(B34="фикс",$B$6,AH34))),0)</f>
        <v>37</v>
      </c>
      <c r="N34" s="59" t="n">
        <v>0</v>
      </c>
      <c r="O34" s="60" t="n">
        <f aca="false">MAX(L34,M34,N34)</f>
        <v>37</v>
      </c>
      <c r="P34" s="59" t="n">
        <f aca="false">ROUND(O34/C34,0)</f>
        <v>37</v>
      </c>
      <c r="Q34" s="61" t="n">
        <f aca="false">1-K34/(O34*$B$4)</f>
        <v>0.260733336179335</v>
      </c>
      <c r="R34" s="62"/>
      <c r="U34" s="63" t="s">
        <v>203</v>
      </c>
      <c r="Z34" s="1" t="n">
        <v>0</v>
      </c>
      <c r="AA34" s="65" t="n">
        <f aca="false">O34</f>
        <v>37</v>
      </c>
      <c r="AB34" s="1" t="n">
        <f aca="false">C34</f>
        <v>1</v>
      </c>
      <c r="AC34" s="1" t="n">
        <f aca="false">IF(B34="шт","—",P34)</f>
        <v>37</v>
      </c>
      <c r="AD34" s="66" t="s">
        <v>204</v>
      </c>
      <c r="AE34" s="66" t="s">
        <v>151</v>
      </c>
      <c r="AF34" s="66" t="s">
        <v>212</v>
      </c>
      <c r="AG34" s="81" t="s">
        <v>206</v>
      </c>
      <c r="AH34" s="67" t="n">
        <f aca="false">$B$5</f>
        <v>0.25</v>
      </c>
      <c r="AP34" s="1" t="s">
        <v>156</v>
      </c>
    </row>
    <row r="35" customFormat="false" ht="15" hidden="false" customHeight="true" outlineLevel="0" collapsed="false">
      <c r="A35" s="59" t="s">
        <v>213</v>
      </c>
      <c r="B35" s="59" t="s">
        <v>202</v>
      </c>
      <c r="C35" s="59" t="n">
        <v>1</v>
      </c>
      <c r="D35" s="59" t="n">
        <v>1</v>
      </c>
      <c r="E35" s="59" t="s">
        <v>150</v>
      </c>
      <c r="F35" s="59" t="n">
        <v>0.09</v>
      </c>
      <c r="G35" s="59" t="s">
        <v>150</v>
      </c>
      <c r="H35" s="59" t="n">
        <v>0.12</v>
      </c>
      <c r="I35" s="59" t="n">
        <v>2</v>
      </c>
      <c r="J35" s="59" t="n">
        <v>41</v>
      </c>
      <c r="K35" s="59" t="n">
        <f aca="false">F35*C35*IF(E35="OpenRouter",$F$3,$F$4)</f>
        <v>9.056835</v>
      </c>
      <c r="L35" s="59" t="n">
        <f aca="false">ROUNDUP(5.014*I35,0)</f>
        <v>11</v>
      </c>
      <c r="M35" s="59" t="n">
        <f aca="false">ROUNDUP(K35*(C35/D35)/($B$4*(1-IF(B35="фикс",$B$6,AH35))),0)</f>
        <v>37</v>
      </c>
      <c r="N35" s="59" t="n">
        <f aca="false">ROUNDUP(H35*C35*IF(G35="OpenRouter",$F$3,$F$4)/$B$4,0)</f>
        <v>37</v>
      </c>
      <c r="O35" s="60" t="n">
        <f aca="false">MAX(L35,M35,N35,Z35)</f>
        <v>50</v>
      </c>
      <c r="P35" s="59" t="n">
        <f aca="false">ROUND(O35/C35,0)</f>
        <v>50</v>
      </c>
      <c r="Q35" s="61" t="n">
        <f aca="false">1-K35/(O35*$B$4)</f>
        <v>0.452942668772708</v>
      </c>
      <c r="R35" s="62"/>
      <c r="U35" s="63" t="s">
        <v>214</v>
      </c>
      <c r="Z35" s="1" t="n">
        <f aca="false">ROUNDUP(O46*1.15,0)</f>
        <v>50</v>
      </c>
      <c r="AA35" s="65" t="n">
        <f aca="false">O35</f>
        <v>50</v>
      </c>
      <c r="AB35" s="1" t="n">
        <f aca="false">C35</f>
        <v>1</v>
      </c>
      <c r="AC35" s="1" t="n">
        <f aca="false">IF(B35="шт","—",P35)</f>
        <v>50</v>
      </c>
      <c r="AD35" s="66" t="s">
        <v>204</v>
      </c>
      <c r="AE35" s="66" t="s">
        <v>153</v>
      </c>
      <c r="AF35" s="66" t="s">
        <v>212</v>
      </c>
      <c r="AG35" s="66" t="s">
        <v>170</v>
      </c>
      <c r="AH35" s="67" t="n">
        <f aca="false">$B$5</f>
        <v>0.25</v>
      </c>
      <c r="AP35" s="1" t="s">
        <v>156</v>
      </c>
      <c r="AQ35" s="1" t="s">
        <v>156</v>
      </c>
    </row>
    <row r="36" customFormat="false" ht="15" hidden="false" customHeight="true" outlineLevel="0" collapsed="false">
      <c r="A36" s="59" t="s">
        <v>215</v>
      </c>
      <c r="B36" s="59" t="s">
        <v>202</v>
      </c>
      <c r="C36" s="59" t="n">
        <v>1</v>
      </c>
      <c r="D36" s="59" t="n">
        <v>1</v>
      </c>
      <c r="E36" s="59" t="s">
        <v>150</v>
      </c>
      <c r="F36" s="59" t="n">
        <v>0.03</v>
      </c>
      <c r="G36" s="59" t="inlineStr">
        <is>
          <t xml:space="preserve">direct</t>
        </is>
      </c>
      <c r="H36" s="59">
        <v>0.03</v>
      </c>
      <c r="I36" s="59" t="n">
        <v>2</v>
      </c>
      <c r="J36" s="59" t="n">
        <v>25</v>
      </c>
      <c r="K36" s="59" t="n">
        <f aca="false">F36*C36*IF(E36="OpenRouter",$F$3,$F$4)</f>
        <v>3.018945</v>
      </c>
      <c r="L36" s="59" t="n">
        <f aca="false">ROUNDUP(5.014*I36,0)</f>
        <v>11</v>
      </c>
      <c r="M36" s="59" t="n">
        <f aca="false">ROUNDUP(K36*(C36/D36)/($B$4*(1-IF(B36="фикс",$B$6,AH36))),0)</f>
        <v>13</v>
      </c>
      <c r="N36" s="59" t="n">
        <v>0</v>
      </c>
      <c r="O36" s="60" t="n">
        <f aca="false">MAX(L36,M36,N36)</f>
        <v>13</v>
      </c>
      <c r="P36" s="59" t="n">
        <f aca="false">ROUND(O36/C36,0)</f>
        <v>13</v>
      </c>
      <c r="Q36" s="61" t="n">
        <f aca="false">1-K36/(O36*$B$4)</f>
        <v>0.298644447144497</v>
      </c>
      <c r="R36" s="62"/>
      <c r="U36" s="63" t="inlineStr">
        <is>
          <t xml:space="preserve">Kie fallback gpt-image-2-text-to-image $0.03/low; owner list 2026-07-25. Costed reserve; quality mapping remains unarmed.</t>
        </is>
      </c>
      <c r="AA36" s="65" t="n">
        <f aca="false">O36</f>
        <v>13</v>
      </c>
      <c r="AB36" s="1" t="n">
        <f aca="false">C36</f>
        <v>1</v>
      </c>
      <c r="AC36" s="1" t="n">
        <f aca="false">IF(B36="шт","—",P36)</f>
        <v>13</v>
      </c>
      <c r="AD36" s="66" t="s">
        <v>204</v>
      </c>
      <c r="AE36" s="66" t="inlineStr">
        <is>
          <t xml:space="preserve">Kie</t>
        </is>
      </c>
      <c r="AF36" s="66" t="s">
        <v>217</v>
      </c>
      <c r="AG36" s="68" t="s">
        <v>218</v>
      </c>
      <c r="AH36" s="67" t="n">
        <f aca="false">$B$5</f>
        <v>0.25</v>
      </c>
      <c r="AP36" s="1" t="s">
        <v>156</v>
      </c>
    </row>
    <row r="37" customFormat="false" ht="15" hidden="false" customHeight="true" outlineLevel="0" collapsed="false">
      <c r="A37" s="59" t="s">
        <v>219</v>
      </c>
      <c r="B37" s="59" t="s">
        <v>220</v>
      </c>
      <c r="C37" s="59" t="n">
        <v>1</v>
      </c>
      <c r="D37" s="59" t="n">
        <v>1</v>
      </c>
      <c r="E37" s="59" t="s">
        <v>150</v>
      </c>
      <c r="F37" s="59" t="n">
        <v>0.03</v>
      </c>
      <c r="G37" s="59" t="inlineStr">
        <is>
          <t xml:space="preserve">direct</t>
        </is>
      </c>
      <c r="H37" s="59">
        <v>0.05</v>
      </c>
      <c r="I37" s="59" t="s">
        <v>151</v>
      </c>
      <c r="J37" s="59"/>
      <c r="K37" s="59" t="n">
        <f aca="false">F37*C37*IF(E37="OpenRouter",$F$3,$F$4)</f>
        <v>3.018945</v>
      </c>
      <c r="L37" s="59" t="n">
        <v>0</v>
      </c>
      <c r="M37" s="59" t="n">
        <f aca="false">ROUNDUP(K37*(C37/D37)/($B$4*(1-IF(B37="фикс",$B$6,AH37))),0)</f>
        <v>13</v>
      </c>
      <c r="N37" s="59" t="n">
        <v>0</v>
      </c>
      <c r="O37" s="82" t="n">
        <v>21</v>
      </c>
      <c r="P37" s="59" t="n">
        <f aca="false">ROUND(O37/C37,0)</f>
        <v>21</v>
      </c>
      <c r="Q37" s="61" t="n">
        <f aca="false">1-K37/(O37*$B$4)</f>
        <v>0.565827514898974</v>
      </c>
      <c r="R37" s="62"/>
      <c r="U37" s="63" t="inlineStr">
        <is>
          <t xml:space="preserve">Kie fallback gpt-image-2-text-to-image $0.05/medium; owner list 2026-07-25. Costed reserve; quality mapping remains unarmed.</t>
        </is>
      </c>
      <c r="AA37" s="65" t="n">
        <f aca="false">O37</f>
        <v>21</v>
      </c>
      <c r="AB37" s="1" t="n">
        <f aca="false">C37</f>
        <v>1</v>
      </c>
      <c r="AC37" s="1" t="str">
        <f aca="false">IF(B37="шт","—",P37)</f>
        <v>—</v>
      </c>
      <c r="AD37" s="66" t="s">
        <v>204</v>
      </c>
      <c r="AE37" s="66" t="inlineStr">
        <is>
          <t xml:space="preserve">Kie</t>
        </is>
      </c>
      <c r="AF37" s="66" t="s">
        <v>217</v>
      </c>
      <c r="AG37" s="68" t="s">
        <v>218</v>
      </c>
      <c r="AH37" s="67" t="n">
        <f aca="false">$B$5</f>
        <v>0.25</v>
      </c>
      <c r="AP37" s="1" t="s">
        <v>156</v>
      </c>
    </row>
    <row r="38" customFormat="false" ht="15" hidden="false" customHeight="true" outlineLevel="0" collapsed="false">
      <c r="A38" s="59" t="s">
        <v>222</v>
      </c>
      <c r="B38" s="59" t="s">
        <v>220</v>
      </c>
      <c r="C38" s="59" t="n">
        <v>1</v>
      </c>
      <c r="D38" s="59" t="n">
        <v>1</v>
      </c>
      <c r="E38" s="59" t="s">
        <v>150</v>
      </c>
      <c r="F38" s="59" t="n">
        <v>0.03</v>
      </c>
      <c r="G38" s="59" t="inlineStr">
        <is>
          <t xml:space="preserve">direct</t>
        </is>
      </c>
      <c r="H38" s="59">
        <v>0.08</v>
      </c>
      <c r="I38" s="59" t="s">
        <v>151</v>
      </c>
      <c r="J38" s="59"/>
      <c r="K38" s="59" t="n">
        <f aca="false">F38*C38*IF(E38="OpenRouter",$F$3,$F$4)</f>
        <v>3.018945</v>
      </c>
      <c r="L38" s="59" t="n">
        <v>0</v>
      </c>
      <c r="M38" s="59" t="n">
        <f aca="false">ROUNDUP(K38*(C38/D38)/($B$4*(1-IF(B38="фикс",$B$6,AH38))),0)</f>
        <v>13</v>
      </c>
      <c r="N38" s="59" t="n">
        <v>0</v>
      </c>
      <c r="O38" s="82" t="n">
        <v>33</v>
      </c>
      <c r="P38" s="59" t="n">
        <f aca="false">ROUND(O38/C38,0)</f>
        <v>33</v>
      </c>
      <c r="Q38" s="61" t="n">
        <f aca="false">1-K38/(O38*$B$4)</f>
        <v>0.723708418572075</v>
      </c>
      <c r="R38" s="62"/>
      <c r="U38" s="63" t="inlineStr">
        <is>
          <t xml:space="preserve">Kie fallback gpt-image-2-text-to-image $0.08/high; owner list 2026-07-25. Costed reserve; quality mapping remains unarmed.</t>
        </is>
      </c>
      <c r="AA38" s="65" t="n">
        <f aca="false">O38</f>
        <v>33</v>
      </c>
      <c r="AB38" s="1" t="n">
        <f aca="false">C38</f>
        <v>1</v>
      </c>
      <c r="AC38" s="1" t="str">
        <f aca="false">IF(B38="шт","—",P38)</f>
        <v>—</v>
      </c>
      <c r="AD38" s="66" t="s">
        <v>204</v>
      </c>
      <c r="AE38" s="66" t="inlineStr">
        <is>
          <t xml:space="preserve">Kie</t>
        </is>
      </c>
      <c r="AF38" s="66" t="s">
        <v>217</v>
      </c>
      <c r="AG38" s="68" t="s">
        <v>218</v>
      </c>
      <c r="AH38" s="67" t="n">
        <f aca="false">$B$5</f>
        <v>0.25</v>
      </c>
      <c r="AP38" s="1" t="s">
        <v>156</v>
      </c>
    </row>
    <row r="39" customFormat="false" ht="15" hidden="false" customHeight="true" outlineLevel="0" collapsed="false">
      <c r="A39" s="59" t="s">
        <v>223</v>
      </c>
      <c r="B39" s="59" t="s">
        <v>202</v>
      </c>
      <c r="C39" s="59" t="n">
        <v>1</v>
      </c>
      <c r="D39" s="59" t="n">
        <v>1</v>
      </c>
      <c r="E39" s="59" t="s">
        <v>150</v>
      </c>
      <c r="F39" s="59" t="n">
        <v>0.0325</v>
      </c>
      <c r="G39" s="59" t="s">
        <v>168</v>
      </c>
      <c r="H39" s="59" t="n">
        <v>0.04</v>
      </c>
      <c r="I39" s="59" t="n">
        <v>2</v>
      </c>
      <c r="J39" s="59" t="n">
        <v>15</v>
      </c>
      <c r="K39" s="59" t="n">
        <f aca="false">F39*C39*IF(E39="OpenRouter",$F$3,$F$4)</f>
        <v>3.27052375</v>
      </c>
      <c r="L39" s="59" t="n">
        <f aca="false">ROUNDUP(5.014*I39,0)</f>
        <v>11</v>
      </c>
      <c r="M39" s="59" t="n">
        <f aca="false">ROUNDUP(K39*(C39/D39)/($B$4*(1-IF(B39="фикс",$B$6,AH39))),0)</f>
        <v>14</v>
      </c>
      <c r="N39" s="59" t="n">
        <f aca="false">ROUNDUP(H39*C39*IF(G39="OpenRouter",$F$3,$F$4)/$B$4,0)</f>
        <v>13</v>
      </c>
      <c r="O39" s="60" t="n">
        <f aca="false">MAX(L39,M39,N39)</f>
        <v>14</v>
      </c>
      <c r="P39" s="59" t="n">
        <f aca="false">ROUND(O39/C39,0)</f>
        <v>14</v>
      </c>
      <c r="Q39" s="61" t="n">
        <f aca="false">1-K39/(O39*$B$4)</f>
        <v>0.294469711710833</v>
      </c>
      <c r="R39" s="62"/>
      <c r="U39" s="63" t="s">
        <v>214</v>
      </c>
      <c r="Z39" s="1" t="n">
        <v>0</v>
      </c>
      <c r="AA39" s="65" t="n">
        <f aca="false">O39</f>
        <v>14</v>
      </c>
      <c r="AB39" s="1" t="n">
        <f aca="false">C39</f>
        <v>1</v>
      </c>
      <c r="AC39" s="1" t="n">
        <f aca="false">IF(B39="шт","—",P39)</f>
        <v>14</v>
      </c>
      <c r="AD39" s="66" t="s">
        <v>153</v>
      </c>
      <c r="AE39" s="66" t="s">
        <v>168</v>
      </c>
      <c r="AF39" s="66" t="s">
        <v>224</v>
      </c>
      <c r="AG39" s="66" t="s">
        <v>170</v>
      </c>
      <c r="AH39" s="67" t="n">
        <f aca="false">$B$5</f>
        <v>0.25</v>
      </c>
      <c r="AP39" s="1" t="s">
        <v>156</v>
      </c>
      <c r="AQ39" s="1" t="s">
        <v>156</v>
      </c>
    </row>
    <row r="40" customFormat="false" ht="15" hidden="false" customHeight="true" outlineLevel="0" collapsed="false">
      <c r="A40" s="59" t="s">
        <v>225</v>
      </c>
      <c r="B40" s="59" t="s">
        <v>202</v>
      </c>
      <c r="C40" s="59" t="n">
        <v>1</v>
      </c>
      <c r="D40" s="59" t="n">
        <v>1</v>
      </c>
      <c r="E40" s="59" t="s">
        <v>150</v>
      </c>
      <c r="F40" s="59" t="n">
        <v>0.035</v>
      </c>
      <c r="G40" s="59" t="s">
        <v>151</v>
      </c>
      <c r="H40" s="59" t="s">
        <v>151</v>
      </c>
      <c r="I40" s="59" t="n">
        <v>3</v>
      </c>
      <c r="J40" s="59" t="n">
        <v>15</v>
      </c>
      <c r="K40" s="59" t="n">
        <f aca="false">F40*C40*IF(E40="OpenRouter",$F$3,$F$4)</f>
        <v>3.5221025</v>
      </c>
      <c r="L40" s="59" t="n">
        <f aca="false">ROUNDUP(5.014*I40,0)</f>
        <v>16</v>
      </c>
      <c r="M40" s="59" t="n">
        <f aca="false">ROUNDUP(K40*(C40/D40)/($B$4*(1-IF(B40="фикс",$B$6,AH40))),0)</f>
        <v>15</v>
      </c>
      <c r="N40" s="59" t="n">
        <v>0</v>
      </c>
      <c r="O40" s="60" t="n">
        <f aca="false">MAX(L40,M40,N40)</f>
        <v>16</v>
      </c>
      <c r="P40" s="59" t="n">
        <f aca="false">ROUND(O40/C40,0)</f>
        <v>16</v>
      </c>
      <c r="Q40" s="61" t="n">
        <f aca="false">1-K40/(O40*$B$4)</f>
        <v>0.335173382189054</v>
      </c>
      <c r="R40" s="62"/>
      <c r="T40" s="70" t="n">
        <v>3</v>
      </c>
      <c r="U40" s="1" t="s">
        <v>226</v>
      </c>
      <c r="V40" s="64" t="n">
        <f aca="false">(4400/O40)/(685.5/T40)-1</f>
        <v>0.203501094091904</v>
      </c>
      <c r="W40" s="1" t="n">
        <f aca="false">MAX(ROUNDUP(5.014*T40,0),M40,N40)</f>
        <v>16</v>
      </c>
      <c r="X40" s="64" t="n">
        <f aca="false">(4400/W40)/(685.5/T40)-1</f>
        <v>0.203501094091904</v>
      </c>
      <c r="Y40" s="64" t="n">
        <f aca="false">1-K40/(W40*$B$4)</f>
        <v>0.335173382189054</v>
      </c>
      <c r="AA40" s="65" t="n">
        <f aca="false">O40</f>
        <v>16</v>
      </c>
      <c r="AB40" s="1" t="n">
        <f aca="false">C40</f>
        <v>1</v>
      </c>
      <c r="AC40" s="1" t="n">
        <f aca="false">IF(B40="шт","—",P40)</f>
        <v>16</v>
      </c>
      <c r="AD40" s="66" t="s">
        <v>153</v>
      </c>
      <c r="AE40" s="66" t="s">
        <v>151</v>
      </c>
      <c r="AF40" s="66" t="s">
        <v>227</v>
      </c>
      <c r="AG40" s="66" t="s">
        <v>170</v>
      </c>
      <c r="AH40" s="67" t="n">
        <f aca="false">$B$5</f>
        <v>0.25</v>
      </c>
      <c r="AP40" s="1" t="s">
        <v>156</v>
      </c>
    </row>
    <row r="41" customFormat="false" ht="15" hidden="false" customHeight="true" outlineLevel="0" collapsed="false">
      <c r="A41" s="59" t="s">
        <v>228</v>
      </c>
      <c r="B41" s="59" t="s">
        <v>202</v>
      </c>
      <c r="C41" s="59" t="n">
        <v>1</v>
      </c>
      <c r="D41" s="59" t="n">
        <v>1</v>
      </c>
      <c r="E41" s="59" t="s">
        <v>150</v>
      </c>
      <c r="F41" s="59" t="n">
        <v>0.07</v>
      </c>
      <c r="G41" s="59" t="s">
        <v>151</v>
      </c>
      <c r="H41" s="59" t="s">
        <v>151</v>
      </c>
      <c r="I41" s="59" t="n">
        <v>6</v>
      </c>
      <c r="J41" s="59" t="n">
        <v>30</v>
      </c>
      <c r="K41" s="59" t="n">
        <f aca="false">F41*C41*IF(E41="OpenRouter",$F$3,$F$4)</f>
        <v>7.044205</v>
      </c>
      <c r="L41" s="59" t="n">
        <f aca="false">ROUNDUP(5.014*I41,0)</f>
        <v>31</v>
      </c>
      <c r="M41" s="59" t="n">
        <f aca="false">ROUNDUP(K41*(C41/D41)/($B$4*(1-IF(B41="фикс",$B$6,AH41))),0)</f>
        <v>29</v>
      </c>
      <c r="N41" s="59" t="n">
        <v>0</v>
      </c>
      <c r="O41" s="60" t="n">
        <f aca="false">MAX(L41,M41,N41)</f>
        <v>31</v>
      </c>
      <c r="P41" s="59" t="n">
        <f aca="false">ROUND(O41/C41,0)</f>
        <v>31</v>
      </c>
      <c r="Q41" s="61" t="n">
        <f aca="false">1-K41/(O41*$B$4)</f>
        <v>0.313727362259669</v>
      </c>
      <c r="R41" s="62"/>
      <c r="T41" s="70" t="n">
        <v>6</v>
      </c>
      <c r="U41" s="1" t="s">
        <v>226</v>
      </c>
      <c r="V41" s="64" t="n">
        <f aca="false">(4400/O41)/(685.5/T41)-1</f>
        <v>0.242323710030352</v>
      </c>
      <c r="W41" s="1" t="n">
        <f aca="false">MAX(ROUNDUP(5.014*T41,0),M41,N41)</f>
        <v>31</v>
      </c>
      <c r="X41" s="64" t="n">
        <f aca="false">(4400/W41)/(685.5/T41)-1</f>
        <v>0.242323710030352</v>
      </c>
      <c r="Y41" s="64" t="n">
        <f aca="false">1-K41/(W41*$B$4)</f>
        <v>0.313727362259669</v>
      </c>
      <c r="AA41" s="65" t="n">
        <f aca="false">O41</f>
        <v>31</v>
      </c>
      <c r="AB41" s="1" t="n">
        <f aca="false">C41</f>
        <v>1</v>
      </c>
      <c r="AC41" s="1" t="n">
        <f aca="false">IF(B41="шт","—",P41)</f>
        <v>31</v>
      </c>
      <c r="AD41" s="66" t="s">
        <v>153</v>
      </c>
      <c r="AE41" s="66" t="s">
        <v>151</v>
      </c>
      <c r="AF41" s="66" t="s">
        <v>227</v>
      </c>
      <c r="AG41" s="66" t="s">
        <v>170</v>
      </c>
      <c r="AH41" s="67" t="n">
        <f aca="false">$B$5</f>
        <v>0.25</v>
      </c>
      <c r="AP41" s="1" t="s">
        <v>156</v>
      </c>
    </row>
    <row r="42" customFormat="false" ht="15" hidden="false" customHeight="true" outlineLevel="0" collapsed="false">
      <c r="A42" s="59" t="s">
        <v>229</v>
      </c>
      <c r="B42" s="59" t="s">
        <v>202</v>
      </c>
      <c r="C42" s="59" t="n">
        <v>1</v>
      </c>
      <c r="D42" s="59" t="n">
        <v>1</v>
      </c>
      <c r="E42" s="59" t="s">
        <v>150</v>
      </c>
      <c r="F42" s="59" t="n">
        <v>0.0275</v>
      </c>
      <c r="G42" s="59" t="s">
        <v>151</v>
      </c>
      <c r="H42" s="59" t="s">
        <v>151</v>
      </c>
      <c r="I42" s="59" t="n">
        <v>2</v>
      </c>
      <c r="J42" s="59" t="n">
        <v>10</v>
      </c>
      <c r="K42" s="59" t="n">
        <f aca="false">F42*C42*IF(E42="OpenRouter",$F$3,$F$4)</f>
        <v>2.76736625</v>
      </c>
      <c r="L42" s="59" t="n">
        <f aca="false">ROUNDUP(5.014*I42,0)</f>
        <v>11</v>
      </c>
      <c r="M42" s="59" t="n">
        <f aca="false">ROUNDUP(K42*(C42/D42)/($B$4*(1-IF(B42="фикс",$B$6,AH42))),0)</f>
        <v>12</v>
      </c>
      <c r="N42" s="59" t="n">
        <v>0</v>
      </c>
      <c r="O42" s="60" t="n">
        <f aca="false">MAX(L42,M42,N42)</f>
        <v>12</v>
      </c>
      <c r="P42" s="59" t="n">
        <f aca="false">ROUND(O42/C42,0)</f>
        <v>12</v>
      </c>
      <c r="Q42" s="61" t="n">
        <f aca="false">1-K42/(O42*$B$4)</f>
        <v>0.303514971817105</v>
      </c>
      <c r="R42" s="62"/>
      <c r="T42" s="70" t="n">
        <v>2</v>
      </c>
      <c r="U42" s="1" t="s">
        <v>172</v>
      </c>
      <c r="V42" s="64" t="n">
        <f aca="false">(4400/O42)/(685.5/T42)-1</f>
        <v>0.0697787503039145</v>
      </c>
      <c r="W42" s="1" t="n">
        <f aca="false">MAX(ROUNDUP(5.014*T42,0),M42,N42)</f>
        <v>12</v>
      </c>
      <c r="X42" s="64" t="n">
        <f aca="false">(4400/W42)/(685.5/T42)-1</f>
        <v>0.0697787503039145</v>
      </c>
      <c r="Y42" s="64" t="n">
        <f aca="false">1-K42/(W42*$B$4)</f>
        <v>0.303514971817105</v>
      </c>
      <c r="Z42" s="1" t="n">
        <v>0</v>
      </c>
      <c r="AA42" s="65" t="n">
        <f aca="false">O42</f>
        <v>12</v>
      </c>
      <c r="AB42" s="1" t="n">
        <f aca="false">C42</f>
        <v>1</v>
      </c>
      <c r="AC42" s="1" t="n">
        <f aca="false">IF(B42="шт","—",P42)</f>
        <v>12</v>
      </c>
      <c r="AD42" s="66" t="s">
        <v>153</v>
      </c>
      <c r="AE42" s="66" t="s">
        <v>151</v>
      </c>
      <c r="AF42" s="66" t="s">
        <v>230</v>
      </c>
      <c r="AG42" s="66" t="s">
        <v>170</v>
      </c>
      <c r="AH42" s="67" t="n">
        <f aca="false">$B$5</f>
        <v>0.25</v>
      </c>
      <c r="AP42" s="1" t="s">
        <v>156</v>
      </c>
    </row>
    <row r="43" customFormat="false" ht="15" hidden="false" customHeight="true" outlineLevel="0" collapsed="false">
      <c r="A43" s="59" t="s">
        <v>231</v>
      </c>
      <c r="B43" s="59" t="s">
        <v>202</v>
      </c>
      <c r="C43" s="59" t="n">
        <v>1</v>
      </c>
      <c r="D43" s="59" t="n">
        <v>1</v>
      </c>
      <c r="E43" s="59" t="s">
        <v>150</v>
      </c>
      <c r="F43" s="59" t="n">
        <v>0.025</v>
      </c>
      <c r="G43" s="59" t="s">
        <v>168</v>
      </c>
      <c r="H43" s="59" t="n">
        <v>0.03</v>
      </c>
      <c r="I43" s="59" t="s">
        <v>151</v>
      </c>
      <c r="J43" s="59" t="n">
        <v>50</v>
      </c>
      <c r="K43" s="59" t="n">
        <f aca="false">F43*C43*IF(E43="OpenRouter",$F$3,$F$4)</f>
        <v>2.5157875</v>
      </c>
      <c r="L43" s="59" t="n">
        <v>0</v>
      </c>
      <c r="M43" s="59" t="n">
        <f aca="false">ROUNDUP(K43*(C43/D43)/($B$4*(1-IF(B43="фикс",$B$6,AH43))),0)</f>
        <v>11</v>
      </c>
      <c r="N43" s="59" t="n">
        <v>0</v>
      </c>
      <c r="O43" s="60" t="n">
        <f aca="false">MAX(L43,M43,N43)</f>
        <v>11</v>
      </c>
      <c r="P43" s="59" t="n">
        <f aca="false">ROUND(O43/C43,0)</f>
        <v>11</v>
      </c>
      <c r="Q43" s="61" t="n">
        <f aca="false">1-K43/(O43*$B$4)</f>
        <v>0.309271046430186</v>
      </c>
      <c r="R43" s="62"/>
      <c r="U43" s="1" t="s">
        <v>232</v>
      </c>
      <c r="AA43" s="65" t="n">
        <f aca="false">O43</f>
        <v>11</v>
      </c>
      <c r="AB43" s="1" t="n">
        <f aca="false">C43</f>
        <v>1</v>
      </c>
      <c r="AC43" s="1" t="n">
        <f aca="false">IF(B43="шт","—",P43)</f>
        <v>11</v>
      </c>
      <c r="AD43" s="66" t="s">
        <v>153</v>
      </c>
      <c r="AE43" s="66" t="s">
        <v>168</v>
      </c>
      <c r="AF43" s="66" t="s">
        <v>233</v>
      </c>
      <c r="AG43" s="68" t="s">
        <v>234</v>
      </c>
      <c r="AH43" s="67" t="n">
        <f aca="false">$B$5</f>
        <v>0.25</v>
      </c>
      <c r="AO43" s="1" t="n">
        <v>1.049</v>
      </c>
      <c r="AP43" s="1" t="s">
        <v>156</v>
      </c>
      <c r="AQ43" s="1" t="s">
        <v>156</v>
      </c>
    </row>
    <row r="44" customFormat="false" ht="15" hidden="false" customHeight="true" outlineLevel="0" collapsed="false">
      <c r="A44" s="59" t="s">
        <v>235</v>
      </c>
      <c r="B44" s="59" t="s">
        <v>202</v>
      </c>
      <c r="C44" s="59" t="n">
        <v>1</v>
      </c>
      <c r="D44" s="59" t="n">
        <v>1</v>
      </c>
      <c r="E44" s="59" t="s">
        <v>168</v>
      </c>
      <c r="F44" s="59" t="n">
        <v>0.04</v>
      </c>
      <c r="G44" s="59" t="s">
        <v>151</v>
      </c>
      <c r="H44" s="59" t="s">
        <v>151</v>
      </c>
      <c r="I44" s="59" t="s">
        <v>151</v>
      </c>
      <c r="J44" s="59" t="n">
        <v>25</v>
      </c>
      <c r="K44" s="59" t="n">
        <f aca="false">F44*C44*IF(E44="OpenRouter",$F$3,$F$4)</f>
        <v>4.24728</v>
      </c>
      <c r="L44" s="59" t="n">
        <v>0</v>
      </c>
      <c r="M44" s="59" t="n">
        <f aca="false">ROUNDUP(K44*(C44/D44)/($B$4*(1-IF(B44="фикс",$B$6,AH44))),0)</f>
        <v>18</v>
      </c>
      <c r="N44" s="59" t="n">
        <v>0</v>
      </c>
      <c r="O44" s="60" t="n">
        <f aca="false">MAX(L44,M44,N44)</f>
        <v>18</v>
      </c>
      <c r="P44" s="59" t="n">
        <f aca="false">ROUND(O44/C44,0)</f>
        <v>18</v>
      </c>
      <c r="Q44" s="61" t="n">
        <f aca="false">1-K44/(O44*$B$4)</f>
        <v>0.287368888378822</v>
      </c>
      <c r="R44" s="62"/>
      <c r="U44" s="1" t="s">
        <v>236</v>
      </c>
      <c r="AA44" s="65" t="n">
        <f aca="false">O44</f>
        <v>18</v>
      </c>
      <c r="AB44" s="1" t="n">
        <f aca="false">C44</f>
        <v>1</v>
      </c>
      <c r="AC44" s="1" t="n">
        <f aca="false">IF(B44="шт","—",P44)</f>
        <v>18</v>
      </c>
      <c r="AD44" s="66" t="s">
        <v>168</v>
      </c>
      <c r="AE44" s="66" t="s">
        <v>151</v>
      </c>
      <c r="AF44" s="66" t="s">
        <v>235</v>
      </c>
      <c r="AG44" s="66" t="s">
        <v>170</v>
      </c>
      <c r="AH44" s="67" t="n">
        <f aca="false">$B$5</f>
        <v>0.25</v>
      </c>
      <c r="AP44" s="1" t="s">
        <v>156</v>
      </c>
    </row>
    <row r="45" customFormat="false" ht="15" hidden="false" customHeight="true" outlineLevel="0" collapsed="false">
      <c r="A45" s="59" t="s">
        <v>237</v>
      </c>
      <c r="B45" s="59" t="s">
        <v>202</v>
      </c>
      <c r="C45" s="59" t="n">
        <v>1</v>
      </c>
      <c r="D45" s="59" t="n">
        <v>1</v>
      </c>
      <c r="E45" s="59" t="s">
        <v>168</v>
      </c>
      <c r="F45" s="59" t="n">
        <v>0.08</v>
      </c>
      <c r="G45" s="59" t="s">
        <v>151</v>
      </c>
      <c r="H45" s="59" t="s">
        <v>151</v>
      </c>
      <c r="I45" s="59" t="s">
        <v>151</v>
      </c>
      <c r="J45" s="59" t="n">
        <v>40</v>
      </c>
      <c r="K45" s="59" t="n">
        <f aca="false">F45*C45*IF(E45="OpenRouter",$F$3,$F$4)</f>
        <v>8.49456</v>
      </c>
      <c r="L45" s="59" t="n">
        <v>0</v>
      </c>
      <c r="M45" s="59" t="n">
        <f aca="false">ROUNDUP(K45*(C45/D45)/($B$4*(1-IF(B45="фикс",$B$6,AH45))),0)</f>
        <v>35</v>
      </c>
      <c r="N45" s="59" t="n">
        <v>0</v>
      </c>
      <c r="O45" s="60" t="n">
        <f aca="false">MAX(L45,M45,N45)</f>
        <v>35</v>
      </c>
      <c r="P45" s="59" t="n">
        <f aca="false">ROUND(O45/C45,0)</f>
        <v>35</v>
      </c>
      <c r="Q45" s="61" t="n">
        <f aca="false">1-K45/(O45*$B$4)</f>
        <v>0.267007999475359</v>
      </c>
      <c r="R45" s="62"/>
      <c r="U45" s="1" t="s">
        <v>236</v>
      </c>
      <c r="AA45" s="65" t="n">
        <f aca="false">O45</f>
        <v>35</v>
      </c>
      <c r="AB45" s="1" t="n">
        <f aca="false">C45</f>
        <v>1</v>
      </c>
      <c r="AC45" s="1" t="n">
        <f aca="false">IF(B45="шт","—",P45)</f>
        <v>35</v>
      </c>
      <c r="AD45" s="66" t="s">
        <v>168</v>
      </c>
      <c r="AE45" s="66" t="s">
        <v>151</v>
      </c>
      <c r="AF45" s="66" t="s">
        <v>237</v>
      </c>
      <c r="AG45" s="66" t="s">
        <v>170</v>
      </c>
      <c r="AH45" s="67" t="n">
        <f aca="false">$B$5</f>
        <v>0.25</v>
      </c>
      <c r="AP45" s="1" t="s">
        <v>156</v>
      </c>
    </row>
    <row r="46" customFormat="false" ht="15" hidden="false" customHeight="true" outlineLevel="0" collapsed="false">
      <c r="A46" s="59" t="s">
        <v>238</v>
      </c>
      <c r="B46" s="59" t="s">
        <v>220</v>
      </c>
      <c r="C46" s="59" t="n">
        <v>1</v>
      </c>
      <c r="D46" s="59" t="n">
        <v>1</v>
      </c>
      <c r="E46" s="59" t="s">
        <v>150</v>
      </c>
      <c r="F46" s="59" t="n">
        <v>0.09</v>
      </c>
      <c r="G46" s="59" t="s">
        <v>151</v>
      </c>
      <c r="H46" s="59" t="s">
        <v>151</v>
      </c>
      <c r="I46" s="59" t="s">
        <v>151</v>
      </c>
      <c r="J46" s="59"/>
      <c r="K46" s="59" t="n">
        <f aca="false">F46*C46*IF(E46="OpenRouter",$F$3,$F$4)</f>
        <v>9.056835</v>
      </c>
      <c r="L46" s="59" t="n">
        <v>0</v>
      </c>
      <c r="M46" s="59" t="n">
        <f aca="false">ROUNDUP(K46*(C46/D46)/($B$4*(1-IF(B46="фикс",$B$6,AH46))),0)</f>
        <v>37</v>
      </c>
      <c r="N46" s="59" t="n">
        <v>0</v>
      </c>
      <c r="O46" s="60" t="n">
        <f aca="false">MAX(L46,M46,N46,Z46)</f>
        <v>43</v>
      </c>
      <c r="P46" s="59" t="n">
        <f aca="false">ROUND(O46/C46,0)</f>
        <v>43</v>
      </c>
      <c r="Q46" s="61" t="n">
        <f aca="false">1-K46/(O46*$B$4)</f>
        <v>0.363886824154311</v>
      </c>
      <c r="R46" s="62"/>
      <c r="U46" s="63" t="s">
        <v>203</v>
      </c>
      <c r="Z46" s="1" t="n">
        <f aca="false">ROUNDUP(O34*1.15,0)</f>
        <v>43</v>
      </c>
      <c r="AA46" s="65" t="n">
        <f aca="false">O46</f>
        <v>43</v>
      </c>
      <c r="AB46" s="1" t="n">
        <v>1</v>
      </c>
      <c r="AC46" s="1" t="s">
        <v>151</v>
      </c>
      <c r="AD46" s="66" t="s">
        <v>204</v>
      </c>
      <c r="AE46" s="66" t="s">
        <v>151</v>
      </c>
      <c r="AF46" s="66" t="s">
        <v>212</v>
      </c>
      <c r="AG46" s="81" t="s">
        <v>206</v>
      </c>
      <c r="AH46" s="67" t="n">
        <f aca="false">$B$5</f>
        <v>0.25</v>
      </c>
      <c r="AP46" s="1" t="s">
        <v>156</v>
      </c>
    </row>
    <row r="47" customFormat="false" ht="15" hidden="false" customHeight="true" outlineLevel="0" collapsed="false">
      <c r="A47" s="59" t="s">
        <v>239</v>
      </c>
      <c r="B47" s="59" t="s">
        <v>220</v>
      </c>
      <c r="C47" s="59" t="n">
        <v>1</v>
      </c>
      <c r="D47" s="59" t="n">
        <v>1</v>
      </c>
      <c r="E47" s="59" t="s">
        <v>150</v>
      </c>
      <c r="F47" s="59" t="n">
        <v>0.055</v>
      </c>
      <c r="G47" s="59" t="s">
        <v>150</v>
      </c>
      <c r="H47" s="59" t="n">
        <v>0.06</v>
      </c>
      <c r="I47" s="59" t="s">
        <v>151</v>
      </c>
      <c r="J47" s="59"/>
      <c r="K47" s="59" t="n">
        <f aca="false">F47*C47*IF(E47="OpenRouter",$F$3,$F$4)</f>
        <v>5.5347325</v>
      </c>
      <c r="L47" s="59" t="n">
        <v>0</v>
      </c>
      <c r="M47" s="59" t="n">
        <f aca="false">ROUNDUP(K47*(C47/D47)/($B$4*(1-IF(B47="фикс",$B$6,AH47))),0)</f>
        <v>23</v>
      </c>
      <c r="N47" s="59" t="n">
        <f aca="false">ROUNDUP(H47*C47*IF(G47="OpenRouter",$F$3,$F$4)/$B$4,0)</f>
        <v>19</v>
      </c>
      <c r="O47" s="60" t="n">
        <f aca="false">MAX(L47,M47,N47,Z47)</f>
        <v>23</v>
      </c>
      <c r="P47" s="59" t="n">
        <f aca="false">ROUND(O47/C47,0)</f>
        <v>23</v>
      </c>
      <c r="Q47" s="61" t="n">
        <f aca="false">1-K47/(O47*$B$4)</f>
        <v>0.273233014070022</v>
      </c>
      <c r="R47" s="62"/>
      <c r="U47" s="63" t="s">
        <v>240</v>
      </c>
      <c r="Z47" s="1" t="n">
        <f aca="false">ROUNDUP(O32*1.15,0)</f>
        <v>20</v>
      </c>
      <c r="AA47" s="65" t="n">
        <f aca="false">O47</f>
        <v>23</v>
      </c>
      <c r="AB47" s="1" t="n">
        <v>1</v>
      </c>
      <c r="AC47" s="1" t="s">
        <v>151</v>
      </c>
      <c r="AD47" s="66" t="s">
        <v>204</v>
      </c>
      <c r="AE47" s="66" t="s">
        <v>153</v>
      </c>
      <c r="AF47" s="66" t="s">
        <v>209</v>
      </c>
      <c r="AG47" s="66" t="s">
        <v>170</v>
      </c>
      <c r="AH47" s="67" t="n">
        <f aca="false">$B$5</f>
        <v>0.25</v>
      </c>
      <c r="AP47" s="1" t="s">
        <v>156</v>
      </c>
      <c r="AQ47" s="1" t="s">
        <v>156</v>
      </c>
    </row>
    <row r="48" customFormat="false" ht="15" hidden="false" customHeight="true" outlineLevel="0" collapsed="false">
      <c r="A48" s="59" t="s">
        <v>241</v>
      </c>
      <c r="B48" s="59" t="s">
        <v>220</v>
      </c>
      <c r="C48" s="59" t="n">
        <v>1</v>
      </c>
      <c r="D48" s="59" t="n">
        <v>1</v>
      </c>
      <c r="E48" s="59" t="s">
        <v>150</v>
      </c>
      <c r="F48" s="59" t="n">
        <v>0.055</v>
      </c>
      <c r="G48" s="59" t="s">
        <v>150</v>
      </c>
      <c r="H48" s="59" t="n">
        <v>0.09</v>
      </c>
      <c r="I48" s="59" t="s">
        <v>151</v>
      </c>
      <c r="J48" s="59"/>
      <c r="K48" s="59" t="n">
        <f aca="false">F48*C48*IF(E48="OpenRouter",$F$3,$F$4)</f>
        <v>5.5347325</v>
      </c>
      <c r="L48" s="59" t="n">
        <v>0</v>
      </c>
      <c r="M48" s="59" t="n">
        <f aca="false">ROUNDUP(K48*(C48/D48)/($B$4*(1-IF(B48="фикс",$B$6,AH48))),0)</f>
        <v>23</v>
      </c>
      <c r="N48" s="59" t="n">
        <f aca="false">ROUNDUP(H48*C48*IF(G48="OpenRouter",$F$3,$F$4)/$B$4,0)</f>
        <v>28</v>
      </c>
      <c r="O48" s="69" t="n">
        <f aca="false">MAX(L48,M48,N48,Z48)</f>
        <v>28</v>
      </c>
      <c r="P48" s="59" t="n">
        <f aca="false">ROUND(O48/C48,0)</f>
        <v>28</v>
      </c>
      <c r="Q48" s="61" t="n">
        <f aca="false">1-K48/(O48*$B$4)</f>
        <v>0.40301283298609</v>
      </c>
      <c r="R48" s="62"/>
      <c r="U48" s="63" t="s">
        <v>242</v>
      </c>
      <c r="Z48" s="1" t="n">
        <f aca="false">ROUNDUP(O47*1.15,0)</f>
        <v>27</v>
      </c>
      <c r="AA48" s="65" t="n">
        <f aca="false">O48</f>
        <v>28</v>
      </c>
      <c r="AB48" s="1" t="n">
        <v>1</v>
      </c>
      <c r="AC48" s="1" t="s">
        <v>151</v>
      </c>
      <c r="AD48" s="66" t="s">
        <v>204</v>
      </c>
      <c r="AE48" s="66" t="s">
        <v>153</v>
      </c>
      <c r="AF48" s="66" t="s">
        <v>209</v>
      </c>
      <c r="AG48" s="66" t="s">
        <v>170</v>
      </c>
      <c r="AH48" s="67" t="n">
        <f aca="false">$B$5</f>
        <v>0.25</v>
      </c>
      <c r="AP48" s="1" t="s">
        <v>156</v>
      </c>
      <c r="AQ48" s="1" t="s">
        <v>156</v>
      </c>
    </row>
    <row r="49" customFormat="false" ht="15" hidden="false" customHeight="true" outlineLevel="0" collapsed="false">
      <c r="A49" s="59" t="s">
        <v>243</v>
      </c>
      <c r="B49" s="59" t="s">
        <v>220</v>
      </c>
      <c r="C49" s="59" t="n">
        <v>1</v>
      </c>
      <c r="D49" s="59" t="n">
        <v>1</v>
      </c>
      <c r="E49" s="59" t="s">
        <v>150</v>
      </c>
      <c r="F49" s="59" t="n">
        <v>0.0325</v>
      </c>
      <c r="G49" s="59" t="s">
        <v>168</v>
      </c>
      <c r="H49" s="59" t="n">
        <v>0.04</v>
      </c>
      <c r="I49" s="59" t="s">
        <v>151</v>
      </c>
      <c r="J49" s="59"/>
      <c r="K49" s="59" t="n">
        <f aca="false">F49*C49*IF(E49="OpenRouter",$F$3,$F$4)</f>
        <v>3.27052375</v>
      </c>
      <c r="L49" s="59" t="n">
        <v>0</v>
      </c>
      <c r="M49" s="59" t="n">
        <f aca="false">ROUNDUP(K49*(C49/D49)/($B$4*(1-IF(B49="фикс",$B$6,AH49))),0)</f>
        <v>14</v>
      </c>
      <c r="N49" s="59" t="n">
        <f aca="false">ROUNDUP(H49*C49*IF(G49="OpenRouter",$F$3,$F$4)/$B$4,0)</f>
        <v>13</v>
      </c>
      <c r="O49" s="60" t="n">
        <f aca="false">MAX(L49,M49,N49,Z49)</f>
        <v>17</v>
      </c>
      <c r="P49" s="59" t="n">
        <f aca="false">ROUND(O49/C49,0)</f>
        <v>17</v>
      </c>
      <c r="Q49" s="61" t="n">
        <f aca="false">1-K49/(O49*$B$4)</f>
        <v>0.418975056703039</v>
      </c>
      <c r="R49" s="62"/>
      <c r="U49" s="63" t="s">
        <v>240</v>
      </c>
      <c r="Z49" s="1" t="n">
        <f aca="false">ROUNDUP(O39*1.15,0)</f>
        <v>17</v>
      </c>
      <c r="AA49" s="65" t="n">
        <f aca="false">O49</f>
        <v>17</v>
      </c>
      <c r="AB49" s="1" t="n">
        <v>1</v>
      </c>
      <c r="AC49" s="1" t="s">
        <v>151</v>
      </c>
      <c r="AD49" s="66" t="s">
        <v>153</v>
      </c>
      <c r="AE49" s="66" t="s">
        <v>168</v>
      </c>
      <c r="AF49" s="66" t="s">
        <v>224</v>
      </c>
      <c r="AG49" s="66" t="s">
        <v>170</v>
      </c>
      <c r="AH49" s="67" t="n">
        <f aca="false">$B$5</f>
        <v>0.25</v>
      </c>
      <c r="AP49" s="1" t="s">
        <v>156</v>
      </c>
      <c r="AQ49" s="1" t="s">
        <v>156</v>
      </c>
    </row>
    <row r="50" customFormat="false" ht="15" hidden="false" customHeight="true" outlineLevel="0" collapsed="false">
      <c r="A50" s="59" t="s">
        <v>244</v>
      </c>
      <c r="B50" s="59" t="s">
        <v>220</v>
      </c>
      <c r="C50" s="59" t="n">
        <v>1</v>
      </c>
      <c r="D50" s="59" t="n">
        <v>1</v>
      </c>
      <c r="E50" s="59" t="s">
        <v>150</v>
      </c>
      <c r="F50" s="59" t="n">
        <v>0.0325</v>
      </c>
      <c r="G50" s="59" t="s">
        <v>168</v>
      </c>
      <c r="H50" s="59" t="n">
        <v>0.04</v>
      </c>
      <c r="I50" s="59" t="s">
        <v>151</v>
      </c>
      <c r="J50" s="59"/>
      <c r="K50" s="59" t="n">
        <f aca="false">F50*C50*IF(E50="OpenRouter",$F$3,$F$4)</f>
        <v>3.27052375</v>
      </c>
      <c r="L50" s="59" t="n">
        <v>0</v>
      </c>
      <c r="M50" s="59" t="n">
        <f aca="false">ROUNDUP(K50*(C50/D50)/($B$4*(1-IF(B50="фикс",$B$6,AH50))),0)</f>
        <v>14</v>
      </c>
      <c r="N50" s="59" t="n">
        <f aca="false">ROUNDUP(H50*C50*IF(G50="OpenRouter",$F$3,$F$4)/$B$4,0)</f>
        <v>13</v>
      </c>
      <c r="O50" s="60" t="n">
        <f aca="false">MAX(L50,M50,N50,Z50)</f>
        <v>20</v>
      </c>
      <c r="P50" s="59" t="n">
        <f aca="false">ROUND(O50/C50,0)</f>
        <v>20</v>
      </c>
      <c r="Q50" s="61" t="n">
        <f aca="false">1-K50/(O50*$B$4)</f>
        <v>0.506128798197583</v>
      </c>
      <c r="R50" s="62"/>
      <c r="U50" s="63" t="s">
        <v>240</v>
      </c>
      <c r="Z50" s="1" t="n">
        <f aca="false">ROUNDUP(O49*1.15,0)</f>
        <v>20</v>
      </c>
      <c r="AA50" s="65" t="n">
        <f aca="false">O50</f>
        <v>20</v>
      </c>
      <c r="AB50" s="1" t="n">
        <v>1</v>
      </c>
      <c r="AC50" s="1" t="s">
        <v>151</v>
      </c>
      <c r="AD50" s="66" t="s">
        <v>153</v>
      </c>
      <c r="AE50" s="66" t="s">
        <v>168</v>
      </c>
      <c r="AF50" s="66" t="s">
        <v>224</v>
      </c>
      <c r="AG50" s="66" t="s">
        <v>170</v>
      </c>
      <c r="AH50" s="67" t="n">
        <f aca="false">$B$5</f>
        <v>0.25</v>
      </c>
      <c r="AP50" s="1" t="s">
        <v>156</v>
      </c>
      <c r="AQ50" s="1" t="s">
        <v>156</v>
      </c>
    </row>
    <row r="51" customFormat="false" ht="15" hidden="false" customHeight="true" outlineLevel="0" collapsed="false">
      <c r="A51" s="59" t="s">
        <v>245</v>
      </c>
      <c r="B51" s="59" t="s">
        <v>220</v>
      </c>
      <c r="C51" s="59" t="n">
        <v>1</v>
      </c>
      <c r="D51" s="59" t="n">
        <v>1</v>
      </c>
      <c r="E51" s="59" t="s">
        <v>150</v>
      </c>
      <c r="F51" s="59" t="n">
        <v>0.0275</v>
      </c>
      <c r="G51" s="59" t="s">
        <v>151</v>
      </c>
      <c r="H51" s="59" t="s">
        <v>151</v>
      </c>
      <c r="I51" s="59" t="s">
        <v>151</v>
      </c>
      <c r="J51" s="59"/>
      <c r="K51" s="59" t="n">
        <f aca="false">F51*C51*IF(E51="OpenRouter",$F$3,$F$4)</f>
        <v>2.76736625</v>
      </c>
      <c r="L51" s="59" t="n">
        <v>0</v>
      </c>
      <c r="M51" s="59" t="n">
        <f aca="false">ROUNDUP(K51*(C51/D51)/($B$4*(1-IF(B51="фикс",$B$6,AH51))),0)</f>
        <v>12</v>
      </c>
      <c r="N51" s="59" t="n">
        <v>0</v>
      </c>
      <c r="O51" s="60" t="n">
        <f aca="false">MAX(L51,M51,N51,Z51)</f>
        <v>14</v>
      </c>
      <c r="P51" s="59" t="n">
        <f aca="false">ROUND(O51/C51,0)</f>
        <v>14</v>
      </c>
      <c r="Q51" s="61" t="n">
        <f aca="false">1-K51/(O51*$B$4)</f>
        <v>0.40301283298609</v>
      </c>
      <c r="R51" s="62"/>
      <c r="T51" s="70"/>
      <c r="U51" s="1" t="s">
        <v>240</v>
      </c>
      <c r="V51" s="64"/>
      <c r="X51" s="64"/>
      <c r="Y51" s="64"/>
      <c r="Z51" s="1" t="n">
        <f aca="false">ROUNDUP(O42*1.15,0)</f>
        <v>14</v>
      </c>
      <c r="AA51" s="65" t="n">
        <f aca="false">O51</f>
        <v>14</v>
      </c>
      <c r="AB51" s="1" t="n">
        <v>1</v>
      </c>
      <c r="AC51" s="1" t="s">
        <v>151</v>
      </c>
      <c r="AD51" s="66" t="s">
        <v>153</v>
      </c>
      <c r="AE51" s="66" t="s">
        <v>151</v>
      </c>
      <c r="AF51" s="66" t="s">
        <v>230</v>
      </c>
      <c r="AG51" s="66" t="s">
        <v>170</v>
      </c>
      <c r="AH51" s="67" t="n">
        <f aca="false">$B$5</f>
        <v>0.25</v>
      </c>
      <c r="AP51" s="1" t="s">
        <v>156</v>
      </c>
    </row>
    <row r="52" customFormat="false" ht="15" hidden="false" customHeight="true" outlineLevel="0" collapsed="false">
      <c r="A52" s="59" t="s">
        <v>246</v>
      </c>
      <c r="B52" s="59" t="s">
        <v>220</v>
      </c>
      <c r="C52" s="59" t="n">
        <v>1</v>
      </c>
      <c r="D52" s="59" t="n">
        <v>1</v>
      </c>
      <c r="E52" s="59" t="s">
        <v>150</v>
      </c>
      <c r="F52" s="59" t="n">
        <v>0.0275</v>
      </c>
      <c r="G52" s="59" t="s">
        <v>151</v>
      </c>
      <c r="H52" s="59" t="s">
        <v>151</v>
      </c>
      <c r="I52" s="59" t="s">
        <v>151</v>
      </c>
      <c r="J52" s="59"/>
      <c r="K52" s="59" t="n">
        <f aca="false">F52*C52*IF(E52="OpenRouter",$F$3,$F$4)</f>
        <v>2.76736625</v>
      </c>
      <c r="L52" s="59" t="n">
        <v>0</v>
      </c>
      <c r="M52" s="59" t="n">
        <f aca="false">ROUNDUP(K52*(C52/D52)/($B$4*(1-IF(B52="фикс",$B$6,AH52))),0)</f>
        <v>12</v>
      </c>
      <c r="N52" s="59" t="n">
        <v>0</v>
      </c>
      <c r="O52" s="60" t="n">
        <f aca="false">MAX(L52,M52,N52,Z52)</f>
        <v>17</v>
      </c>
      <c r="P52" s="59" t="n">
        <f aca="false">ROUND(O52/C52,0)</f>
        <v>17</v>
      </c>
      <c r="Q52" s="61" t="n">
        <f aca="false">1-K52/(O52*$B$4)</f>
        <v>0.508363509517956</v>
      </c>
      <c r="R52" s="62"/>
      <c r="T52" s="70"/>
      <c r="U52" s="1" t="s">
        <v>240</v>
      </c>
      <c r="V52" s="64"/>
      <c r="X52" s="64"/>
      <c r="Y52" s="64"/>
      <c r="Z52" s="1" t="n">
        <f aca="false">ROUNDUP(O51*1.15,0)</f>
        <v>17</v>
      </c>
      <c r="AA52" s="65" t="n">
        <f aca="false">O52</f>
        <v>17</v>
      </c>
      <c r="AB52" s="1" t="n">
        <v>1</v>
      </c>
      <c r="AC52" s="1" t="s">
        <v>151</v>
      </c>
      <c r="AD52" s="66" t="s">
        <v>153</v>
      </c>
      <c r="AE52" s="66" t="s">
        <v>151</v>
      </c>
      <c r="AF52" s="66" t="s">
        <v>230</v>
      </c>
      <c r="AG52" s="66" t="s">
        <v>170</v>
      </c>
      <c r="AH52" s="67" t="n">
        <f aca="false">$B$5</f>
        <v>0.25</v>
      </c>
      <c r="AP52" s="1" t="s">
        <v>156</v>
      </c>
    </row>
    <row r="53" customFormat="false" ht="15" hidden="false" customHeight="true" outlineLevel="0" collapsed="false">
      <c r="A53" s="59" t="s">
        <v>247</v>
      </c>
      <c r="B53" s="59" t="s">
        <v>163</v>
      </c>
      <c r="C53" s="59" t="n">
        <v>5</v>
      </c>
      <c r="D53" s="59" t="n">
        <v>5</v>
      </c>
      <c r="E53" s="59" t="s">
        <v>168</v>
      </c>
      <c r="F53" s="59" t="n">
        <v>0.0988</v>
      </c>
      <c r="G53" s="59" t="s">
        <v>150</v>
      </c>
      <c r="H53" s="59" t="n">
        <v>0.1125</v>
      </c>
      <c r="I53" s="59" t="s">
        <v>151</v>
      </c>
      <c r="J53" s="59"/>
      <c r="K53" s="59" t="n">
        <f aca="false">F53*C53*IF(E53="OpenRouter",$F$3,$F$4)</f>
        <v>52.453908</v>
      </c>
      <c r="L53" s="59" t="n">
        <v>0</v>
      </c>
      <c r="M53" s="59" t="n">
        <f aca="false">ROUNDUP(K53*(C53/D53)/($B$4*(1-IF(B53="фикс",$B$6,AH53))),0)</f>
        <v>212</v>
      </c>
      <c r="N53" s="59" t="n">
        <v>0</v>
      </c>
      <c r="O53" s="60" t="n">
        <f aca="false">MAX(L53,M53,N53)</f>
        <v>212</v>
      </c>
      <c r="P53" s="59" t="n">
        <f aca="false">ROUND(O53/C53,0)</f>
        <v>42</v>
      </c>
      <c r="Q53" s="61" t="n">
        <f aca="false">1-K53/(O53*$B$4)</f>
        <v>0.252745773050057</v>
      </c>
      <c r="R53" s="62"/>
      <c r="T53" s="70"/>
      <c r="U53" s="1" t="s">
        <v>248</v>
      </c>
      <c r="V53" s="64"/>
      <c r="X53" s="64"/>
      <c r="Y53" s="64"/>
      <c r="AA53" s="65" t="n">
        <f aca="false">O53</f>
        <v>212</v>
      </c>
      <c r="AB53" s="1" t="n">
        <f aca="false">C53</f>
        <v>5</v>
      </c>
      <c r="AC53" s="1" t="n">
        <f aca="false">IF(B53="шт","—",P53)</f>
        <v>42</v>
      </c>
      <c r="AD53" s="66" t="s">
        <v>168</v>
      </c>
      <c r="AE53" s="66" t="s">
        <v>153</v>
      </c>
      <c r="AF53" s="66" t="s">
        <v>177</v>
      </c>
      <c r="AG53" s="66" t="s">
        <v>170</v>
      </c>
      <c r="AH53" s="67" t="n">
        <f aca="false">$B$5</f>
        <v>0.25</v>
      </c>
      <c r="AP53" s="1" t="s">
        <v>156</v>
      </c>
      <c r="AQ53" s="1" t="s">
        <v>156</v>
      </c>
    </row>
    <row r="54" customFormat="false" ht="15" hidden="false" customHeight="true" outlineLevel="0" collapsed="false">
      <c r="A54" s="59" t="s">
        <v>249</v>
      </c>
      <c r="B54" s="59" t="s">
        <v>163</v>
      </c>
      <c r="C54" s="59" t="n">
        <v>5</v>
      </c>
      <c r="D54" s="59" t="n">
        <v>5</v>
      </c>
      <c r="E54" s="59" t="s">
        <v>168</v>
      </c>
      <c r="F54" s="59" t="n">
        <v>0.1278</v>
      </c>
      <c r="G54" s="59" t="s">
        <v>150</v>
      </c>
      <c r="H54" s="59" t="n">
        <v>0.145</v>
      </c>
      <c r="I54" s="59" t="s">
        <v>151</v>
      </c>
      <c r="J54" s="59"/>
      <c r="K54" s="59" t="n">
        <f aca="false">F54*C54*IF(E54="OpenRouter",$F$3,$F$4)</f>
        <v>67.850298</v>
      </c>
      <c r="L54" s="59" t="n">
        <v>0</v>
      </c>
      <c r="M54" s="59" t="n">
        <f aca="false">ROUNDUP(K54*(C54/D54)/($B$4*(1-IF(B54="фикс",$B$6,AH54))),0)</f>
        <v>274</v>
      </c>
      <c r="N54" s="59" t="n">
        <v>0</v>
      </c>
      <c r="O54" s="60" t="n">
        <f aca="false">MAX(L54,M54,N54)</f>
        <v>274</v>
      </c>
      <c r="P54" s="59" t="n">
        <f aca="false">ROUND(O54/C54,0)</f>
        <v>55</v>
      </c>
      <c r="Q54" s="61" t="n">
        <f aca="false">1-K54/(O54*$B$4)</f>
        <v>0.252127459318723</v>
      </c>
      <c r="R54" s="62"/>
      <c r="T54" s="70"/>
      <c r="U54" s="1" t="s">
        <v>248</v>
      </c>
      <c r="V54" s="64"/>
      <c r="X54" s="64"/>
      <c r="Y54" s="64"/>
      <c r="AA54" s="65" t="n">
        <f aca="false">O54</f>
        <v>274</v>
      </c>
      <c r="AB54" s="1" t="n">
        <f aca="false">C54</f>
        <v>5</v>
      </c>
      <c r="AC54" s="1" t="n">
        <f aca="false">IF(B54="шт","—",P54)</f>
        <v>55</v>
      </c>
      <c r="AD54" s="66" t="s">
        <v>168</v>
      </c>
      <c r="AE54" s="66" t="s">
        <v>153</v>
      </c>
      <c r="AF54" s="66" t="s">
        <v>177</v>
      </c>
      <c r="AG54" s="66" t="s">
        <v>170</v>
      </c>
      <c r="AH54" s="67" t="n">
        <f aca="false">$B$5</f>
        <v>0.25</v>
      </c>
      <c r="AP54" s="1" t="s">
        <v>156</v>
      </c>
      <c r="AQ54" s="1" t="s">
        <v>156</v>
      </c>
    </row>
    <row r="55" customFormat="false" ht="15" hidden="false" customHeight="true" outlineLevel="0" collapsed="false">
      <c r="A55" s="59" t="s">
        <v>250</v>
      </c>
      <c r="B55" s="59" t="s">
        <v>163</v>
      </c>
      <c r="C55" s="59" t="n">
        <v>5</v>
      </c>
      <c r="D55" s="59" t="n">
        <v>5</v>
      </c>
      <c r="E55" s="59" t="s">
        <v>168</v>
      </c>
      <c r="F55" s="59" t="n">
        <v>0.0988</v>
      </c>
      <c r="G55" s="59" t="s">
        <v>150</v>
      </c>
      <c r="H55" s="59" t="n">
        <v>0.1125</v>
      </c>
      <c r="I55" s="59" t="s">
        <v>151</v>
      </c>
      <c r="J55" s="59"/>
      <c r="K55" s="59" t="n">
        <f aca="false">F55*C55*IF(E55="OpenRouter",$F$3,$F$4)</f>
        <v>52.453908</v>
      </c>
      <c r="L55" s="59" t="n">
        <v>0</v>
      </c>
      <c r="M55" s="59" t="n">
        <f aca="false">ROUNDUP(K55*(C55/D55)/($B$4*(1-IF(B55="фикс",$B$6,AH55))),0)</f>
        <v>212</v>
      </c>
      <c r="N55" s="59" t="n">
        <v>0</v>
      </c>
      <c r="O55" s="60" t="n">
        <f aca="false">MAX(L55,M55,N55)</f>
        <v>212</v>
      </c>
      <c r="P55" s="59" t="n">
        <f aca="false">ROUND(O55/C55,0)</f>
        <v>42</v>
      </c>
      <c r="Q55" s="61" t="n">
        <f aca="false">1-K55/(O55*$B$4)</f>
        <v>0.252745773050057</v>
      </c>
      <c r="R55" s="62"/>
      <c r="T55" s="70"/>
      <c r="U55" s="1" t="s">
        <v>248</v>
      </c>
      <c r="V55" s="64"/>
      <c r="X55" s="64"/>
      <c r="Y55" s="64"/>
      <c r="AA55" s="65" t="n">
        <f aca="false">O55</f>
        <v>212</v>
      </c>
      <c r="AB55" s="1" t="n">
        <f aca="false">C55</f>
        <v>5</v>
      </c>
      <c r="AC55" s="1" t="n">
        <f aca="false">IF(B55="шт","—",P55)</f>
        <v>42</v>
      </c>
      <c r="AD55" s="66" t="s">
        <v>168</v>
      </c>
      <c r="AE55" s="66" t="s">
        <v>153</v>
      </c>
      <c r="AF55" s="66" t="s">
        <v>177</v>
      </c>
      <c r="AG55" s="66" t="s">
        <v>170</v>
      </c>
      <c r="AH55" s="67" t="n">
        <f aca="false">$B$5</f>
        <v>0.25</v>
      </c>
      <c r="AP55" s="1" t="s">
        <v>156</v>
      </c>
      <c r="AQ55" s="1" t="s">
        <v>156</v>
      </c>
    </row>
    <row r="56" customFormat="false" ht="15" hidden="false" customHeight="true" outlineLevel="0" collapsed="false">
      <c r="A56" s="59" t="s">
        <v>251</v>
      </c>
      <c r="B56" s="59" t="s">
        <v>163</v>
      </c>
      <c r="C56" s="59" t="n">
        <v>5</v>
      </c>
      <c r="D56" s="59" t="n">
        <v>5</v>
      </c>
      <c r="E56" s="59" t="s">
        <v>168</v>
      </c>
      <c r="F56" s="59" t="n">
        <v>0.1278</v>
      </c>
      <c r="G56" s="59" t="s">
        <v>150</v>
      </c>
      <c r="H56" s="59" t="n">
        <v>0.145</v>
      </c>
      <c r="I56" s="59" t="s">
        <v>151</v>
      </c>
      <c r="J56" s="59"/>
      <c r="K56" s="59" t="n">
        <f aca="false">F56*C56*IF(E56="OpenRouter",$F$3,$F$4)</f>
        <v>67.850298</v>
      </c>
      <c r="L56" s="59" t="n">
        <v>0</v>
      </c>
      <c r="M56" s="59" t="n">
        <f aca="false">ROUNDUP(K56*(C56/D56)/($B$4*(1-IF(B56="фикс",$B$6,AH56))),0)</f>
        <v>274</v>
      </c>
      <c r="N56" s="59" t="n">
        <v>0</v>
      </c>
      <c r="O56" s="60" t="n">
        <f aca="false">MAX(L56,M56,N56)</f>
        <v>274</v>
      </c>
      <c r="P56" s="59" t="n">
        <f aca="false">ROUND(O56/C56,0)</f>
        <v>55</v>
      </c>
      <c r="Q56" s="61" t="n">
        <f aca="false">1-K56/(O56*$B$4)</f>
        <v>0.252127459318723</v>
      </c>
      <c r="R56" s="62"/>
      <c r="T56" s="70"/>
      <c r="U56" s="1" t="s">
        <v>248</v>
      </c>
      <c r="V56" s="64"/>
      <c r="X56" s="64"/>
      <c r="Y56" s="64"/>
      <c r="AA56" s="65" t="n">
        <f aca="false">O56</f>
        <v>274</v>
      </c>
      <c r="AB56" s="1" t="n">
        <f aca="false">C56</f>
        <v>5</v>
      </c>
      <c r="AC56" s="1" t="n">
        <f aca="false">IF(B56="шт","—",P56)</f>
        <v>55</v>
      </c>
      <c r="AD56" s="66" t="s">
        <v>168</v>
      </c>
      <c r="AE56" s="66" t="s">
        <v>153</v>
      </c>
      <c r="AF56" s="66" t="s">
        <v>177</v>
      </c>
      <c r="AG56" s="66" t="s">
        <v>170</v>
      </c>
      <c r="AH56" s="67" t="n">
        <f aca="false">$B$5</f>
        <v>0.25</v>
      </c>
      <c r="AP56" s="1" t="s">
        <v>156</v>
      </c>
      <c r="AQ56" s="1" t="s">
        <v>156</v>
      </c>
    </row>
    <row r="57" customFormat="false" ht="15" hidden="false" customHeight="true" outlineLevel="0" collapsed="false">
      <c r="A57" s="71" t="s">
        <v>252</v>
      </c>
      <c r="B57" s="71" t="s">
        <v>163</v>
      </c>
      <c r="C57" s="71" t="n">
        <v>5</v>
      </c>
      <c r="D57" s="71" t="n">
        <v>5</v>
      </c>
      <c r="E57" s="71" t="s">
        <v>150</v>
      </c>
      <c r="F57" s="71" t="n">
        <v>0.14</v>
      </c>
      <c r="G57" s="71" t="s">
        <v>151</v>
      </c>
      <c r="H57" s="71" t="s">
        <v>151</v>
      </c>
      <c r="I57" s="71" t="s">
        <v>151</v>
      </c>
      <c r="J57" s="71"/>
      <c r="K57" s="71" t="n">
        <f aca="false">F57*C57*IF(E57="OpenRouter",$F$3,$F$4)</f>
        <v>70.44205</v>
      </c>
      <c r="L57" s="71" t="n">
        <v>0</v>
      </c>
      <c r="M57" s="71" t="n">
        <f aca="false">ROUNDUP(K57*(C57/D57)/($B$4*(1-IF(B57="фикс",$B$6,AH57))),0)</f>
        <v>284</v>
      </c>
      <c r="N57" s="71" t="n">
        <v>0</v>
      </c>
      <c r="O57" s="72" t="n">
        <f aca="false">MAX(L57,M57,N57)</f>
        <v>284</v>
      </c>
      <c r="P57" s="71" t="n">
        <f aca="false">ROUND(O57/C57,0)</f>
        <v>57</v>
      </c>
      <c r="Q57" s="73" t="n">
        <f aca="false">1-K57/(O57*$B$4)</f>
        <v>0.250899585565132</v>
      </c>
      <c r="R57" s="74"/>
      <c r="S57" s="75"/>
      <c r="T57" s="75"/>
      <c r="U57" s="75" t="s">
        <v>253</v>
      </c>
      <c r="V57" s="76"/>
      <c r="W57" s="75"/>
      <c r="X57" s="76"/>
      <c r="Y57" s="76"/>
      <c r="Z57" s="75"/>
      <c r="AA57" s="77" t="n">
        <f aca="false">O57</f>
        <v>284</v>
      </c>
      <c r="AB57" s="75" t="n">
        <f aca="false">C57</f>
        <v>5</v>
      </c>
      <c r="AC57" s="75" t="n">
        <f aca="false">IF(B57="шт","—",P57)</f>
        <v>57</v>
      </c>
      <c r="AD57" s="66" t="s">
        <v>153</v>
      </c>
      <c r="AE57" s="66" t="s">
        <v>151</v>
      </c>
      <c r="AF57" s="66" t="s">
        <v>177</v>
      </c>
      <c r="AG57" s="66" t="s">
        <v>170</v>
      </c>
      <c r="AH57" s="67" t="n">
        <f aca="false">$B$5</f>
        <v>0.25</v>
      </c>
    </row>
    <row r="58" customFormat="false" ht="15" hidden="false" customHeight="true" outlineLevel="0" collapsed="false">
      <c r="A58" s="71" t="s">
        <v>254</v>
      </c>
      <c r="B58" s="71" t="s">
        <v>163</v>
      </c>
      <c r="C58" s="71" t="n">
        <v>5</v>
      </c>
      <c r="D58" s="71" t="n">
        <v>5</v>
      </c>
      <c r="E58" s="71" t="s">
        <v>150</v>
      </c>
      <c r="F58" s="71" t="n">
        <v>0.14</v>
      </c>
      <c r="G58" s="71" t="s">
        <v>151</v>
      </c>
      <c r="H58" s="71" t="s">
        <v>151</v>
      </c>
      <c r="I58" s="71" t="s">
        <v>151</v>
      </c>
      <c r="J58" s="71"/>
      <c r="K58" s="71" t="n">
        <f aca="false">F58*C58*IF(E58="OpenRouter",$F$3,$F$4)</f>
        <v>70.44205</v>
      </c>
      <c r="L58" s="71" t="n">
        <v>0</v>
      </c>
      <c r="M58" s="71" t="n">
        <f aca="false">ROUNDUP(K58*(C58/D58)/($B$4*(1-IF(B58="фикс",$B$6,AH58))),0)</f>
        <v>284</v>
      </c>
      <c r="N58" s="71" t="n">
        <v>0</v>
      </c>
      <c r="O58" s="72" t="n">
        <f aca="false">MAX(L58,M58,N58)</f>
        <v>284</v>
      </c>
      <c r="P58" s="71" t="n">
        <f aca="false">ROUND(O58/C58,0)</f>
        <v>57</v>
      </c>
      <c r="Q58" s="73" t="n">
        <f aca="false">1-K58/(O58*$B$4)</f>
        <v>0.250899585565132</v>
      </c>
      <c r="R58" s="74"/>
      <c r="S58" s="75"/>
      <c r="T58" s="75"/>
      <c r="U58" s="75" t="s">
        <v>253</v>
      </c>
      <c r="V58" s="76"/>
      <c r="W58" s="75"/>
      <c r="X58" s="76"/>
      <c r="Y58" s="76"/>
      <c r="Z58" s="75"/>
      <c r="AA58" s="77" t="n">
        <f aca="false">O58</f>
        <v>284</v>
      </c>
      <c r="AB58" s="75" t="n">
        <f aca="false">C58</f>
        <v>5</v>
      </c>
      <c r="AC58" s="75" t="n">
        <f aca="false">IF(B58="шт","—",P58)</f>
        <v>57</v>
      </c>
      <c r="AD58" s="66" t="s">
        <v>153</v>
      </c>
      <c r="AE58" s="66" t="s">
        <v>151</v>
      </c>
      <c r="AF58" s="66" t="s">
        <v>177</v>
      </c>
      <c r="AG58" s="66" t="s">
        <v>170</v>
      </c>
      <c r="AH58" s="67" t="n">
        <f aca="false">$B$5</f>
        <v>0.25</v>
      </c>
    </row>
    <row r="59" customFormat="false" ht="15" hidden="false" customHeight="true" outlineLevel="0" collapsed="false">
      <c r="A59" s="59" t="s">
        <v>255</v>
      </c>
      <c r="B59" s="59" t="s">
        <v>163</v>
      </c>
      <c r="C59" s="59" t="n">
        <v>5</v>
      </c>
      <c r="D59" s="59" t="n">
        <v>5</v>
      </c>
      <c r="E59" s="59" t="s">
        <v>150</v>
      </c>
      <c r="F59" s="59" t="n">
        <v>0.14</v>
      </c>
      <c r="G59" s="59" t="s">
        <v>151</v>
      </c>
      <c r="H59" s="59" t="s">
        <v>151</v>
      </c>
      <c r="I59" s="59" t="s">
        <v>151</v>
      </c>
      <c r="J59" s="59"/>
      <c r="K59" s="59" t="n">
        <f aca="false">F59*C59*IF(E59="OpenRouter",$F$3,$F$4)</f>
        <v>70.44205</v>
      </c>
      <c r="L59" s="59" t="n">
        <v>0</v>
      </c>
      <c r="M59" s="59" t="n">
        <f aca="false">ROUNDUP(K59*(C59/D59)/($B$4*(1-IF(B59="фикс",$B$6,AH59))),0)</f>
        <v>284</v>
      </c>
      <c r="N59" s="59" t="n">
        <v>0</v>
      </c>
      <c r="O59" s="60" t="n">
        <f aca="false">MAX(L59,M59,N59)</f>
        <v>284</v>
      </c>
      <c r="P59" s="59" t="n">
        <f aca="false">ROUND(O59/C59,0)</f>
        <v>57</v>
      </c>
      <c r="Q59" s="61" t="n">
        <f aca="false">1-K59/(O59*$B$4)</f>
        <v>0.250899585565132</v>
      </c>
      <c r="R59" s="62"/>
      <c r="T59" s="70"/>
      <c r="U59" s="1" t="s">
        <v>253</v>
      </c>
      <c r="V59" s="64"/>
      <c r="X59" s="64"/>
      <c r="Y59" s="64"/>
      <c r="AA59" s="65" t="n">
        <f aca="false">O59</f>
        <v>284</v>
      </c>
      <c r="AB59" s="1" t="n">
        <f aca="false">C59</f>
        <v>5</v>
      </c>
      <c r="AC59" s="1" t="n">
        <f aca="false">IF(B59="шт","—",P59)</f>
        <v>57</v>
      </c>
      <c r="AD59" s="66" t="s">
        <v>153</v>
      </c>
      <c r="AE59" s="66" t="s">
        <v>151</v>
      </c>
      <c r="AF59" s="66" t="s">
        <v>177</v>
      </c>
      <c r="AG59" s="66" t="s">
        <v>170</v>
      </c>
      <c r="AH59" s="67" t="n">
        <f aca="false">$B$5</f>
        <v>0.25</v>
      </c>
      <c r="AP59" s="1" t="s">
        <v>156</v>
      </c>
    </row>
    <row r="60" customFormat="false" ht="15" hidden="false" customHeight="true" outlineLevel="0" collapsed="false">
      <c r="A60" s="59" t="s">
        <v>256</v>
      </c>
      <c r="B60" s="59" t="s">
        <v>163</v>
      </c>
      <c r="C60" s="59" t="n">
        <v>5</v>
      </c>
      <c r="D60" s="59" t="n">
        <v>5</v>
      </c>
      <c r="E60" s="59" t="s">
        <v>150</v>
      </c>
      <c r="F60" s="59" t="n">
        <v>0.24</v>
      </c>
      <c r="G60" s="59" t="s">
        <v>151</v>
      </c>
      <c r="H60" s="59" t="s">
        <v>151</v>
      </c>
      <c r="I60" s="59" t="s">
        <v>151</v>
      </c>
      <c r="J60" s="59"/>
      <c r="K60" s="59" t="n">
        <f aca="false">F60*C60*IF(E60="OpenRouter",$F$3,$F$4)</f>
        <v>120.7578</v>
      </c>
      <c r="L60" s="59" t="n">
        <v>0</v>
      </c>
      <c r="M60" s="59" t="n">
        <f aca="false">ROUNDUP(K60*(C60/D60)/($B$4*(1-IF(B60="фикс",$B$6,AH60))),0)</f>
        <v>487</v>
      </c>
      <c r="N60" s="59" t="n">
        <v>0</v>
      </c>
      <c r="O60" s="60" t="n">
        <f aca="false">MAX(L60,M60,N60)</f>
        <v>487</v>
      </c>
      <c r="P60" s="59" t="n">
        <f aca="false">ROUND(O60/C60,0)</f>
        <v>97</v>
      </c>
      <c r="Q60" s="61" t="n">
        <f aca="false">1-K60/(O60*$B$4)</f>
        <v>0.251119327546485</v>
      </c>
      <c r="R60" s="62"/>
      <c r="T60" s="70"/>
      <c r="U60" s="1" t="s">
        <v>253</v>
      </c>
      <c r="V60" s="64"/>
      <c r="X60" s="64"/>
      <c r="Y60" s="64"/>
      <c r="AA60" s="65" t="n">
        <f aca="false">O60</f>
        <v>487</v>
      </c>
      <c r="AB60" s="1" t="n">
        <f aca="false">C60</f>
        <v>5</v>
      </c>
      <c r="AC60" s="1" t="n">
        <f aca="false">IF(B60="шт","—",P60)</f>
        <v>97</v>
      </c>
      <c r="AD60" s="66" t="s">
        <v>153</v>
      </c>
      <c r="AE60" s="66" t="s">
        <v>151</v>
      </c>
      <c r="AF60" s="66" t="s">
        <v>177</v>
      </c>
      <c r="AG60" s="66" t="s">
        <v>170</v>
      </c>
      <c r="AH60" s="67" t="n">
        <f aca="false">$B$5</f>
        <v>0.25</v>
      </c>
      <c r="AP60" s="1" t="s">
        <v>156</v>
      </c>
    </row>
    <row r="61" customFormat="false" ht="15" hidden="false" customHeight="true" outlineLevel="0" collapsed="false">
      <c r="A61" s="59" t="s">
        <v>257</v>
      </c>
      <c r="B61" s="59" t="s">
        <v>220</v>
      </c>
      <c r="C61" s="59" t="n">
        <v>1</v>
      </c>
      <c r="D61" s="59" t="n">
        <v>1</v>
      </c>
      <c r="E61" s="59" t="s">
        <v>150</v>
      </c>
      <c r="F61" s="59" t="n">
        <v>0.0575</v>
      </c>
      <c r="G61" s="59" t="s">
        <v>151</v>
      </c>
      <c r="H61" s="59" t="s">
        <v>151</v>
      </c>
      <c r="I61" s="59" t="s">
        <v>151</v>
      </c>
      <c r="J61" s="59"/>
      <c r="K61" s="59" t="n">
        <f aca="false">F61*C61*IF(E61="OpenRouter",$F$3,$F$4)</f>
        <v>5.78631125</v>
      </c>
      <c r="L61" s="59" t="n">
        <v>0</v>
      </c>
      <c r="M61" s="59" t="n">
        <f aca="false">ROUNDUP(K61*(C61/D61)/($B$4*(1-IF(B61="фикс",$B$6,AH61))),0)</f>
        <v>24</v>
      </c>
      <c r="N61" s="59" t="n">
        <v>0</v>
      </c>
      <c r="O61" s="60" t="n">
        <f aca="false">MAX(L61,M61,N61)</f>
        <v>24</v>
      </c>
      <c r="P61" s="59" t="n">
        <f aca="false">ROUND(O61/C61,0)</f>
        <v>24</v>
      </c>
      <c r="Q61" s="61" t="n">
        <f aca="false">1-K61/(O61*$B$4)</f>
        <v>0.271856561445155</v>
      </c>
      <c r="R61" s="62"/>
      <c r="T61" s="70"/>
      <c r="U61" s="1" t="s">
        <v>258</v>
      </c>
      <c r="V61" s="64"/>
      <c r="X61" s="64"/>
      <c r="Y61" s="64"/>
      <c r="AA61" s="65" t="n">
        <f aca="false">O61</f>
        <v>24</v>
      </c>
      <c r="AB61" s="1" t="n">
        <f aca="false">C61</f>
        <v>1</v>
      </c>
      <c r="AC61" s="1" t="str">
        <f aca="false">IF(B61="шт","—",P61)</f>
        <v>—</v>
      </c>
      <c r="AD61" s="66" t="s">
        <v>153</v>
      </c>
      <c r="AE61" s="66" t="s">
        <v>151</v>
      </c>
      <c r="AF61" s="66" t="s">
        <v>259</v>
      </c>
      <c r="AG61" s="66" t="s">
        <v>170</v>
      </c>
      <c r="AH61" s="67" t="n">
        <f aca="false">$B$5</f>
        <v>0.25</v>
      </c>
      <c r="AP61" s="1" t="s">
        <v>156</v>
      </c>
    </row>
    <row r="62" customFormat="false" ht="15" hidden="false" customHeight="true" outlineLevel="0" collapsed="false">
      <c r="A62" s="59" t="s">
        <v>260</v>
      </c>
      <c r="B62" s="59" t="s">
        <v>220</v>
      </c>
      <c r="C62" s="59" t="n">
        <v>1</v>
      </c>
      <c r="D62" s="59" t="n">
        <v>1</v>
      </c>
      <c r="E62" s="59" t="s">
        <v>150</v>
      </c>
      <c r="F62" s="59" t="n">
        <v>0.0925</v>
      </c>
      <c r="G62" s="59" t="s">
        <v>151</v>
      </c>
      <c r="H62" s="59" t="s">
        <v>151</v>
      </c>
      <c r="I62" s="59" t="s">
        <v>151</v>
      </c>
      <c r="J62" s="59"/>
      <c r="K62" s="59" t="n">
        <f aca="false">F62*C62*IF(E62="OpenRouter",$F$3,$F$4)</f>
        <v>9.30841375</v>
      </c>
      <c r="L62" s="59" t="n">
        <v>0</v>
      </c>
      <c r="M62" s="59" t="n">
        <f aca="false">ROUNDUP(K62*(C62/D62)/($B$4*(1-IF(B62="фикс",$B$6,AH62))),0)</f>
        <v>38</v>
      </c>
      <c r="N62" s="59" t="n">
        <v>0</v>
      </c>
      <c r="O62" s="60" t="n">
        <f aca="false">MAX(L62,M62,N62)</f>
        <v>38</v>
      </c>
      <c r="P62" s="59" t="n">
        <f aca="false">ROUND(O62/C62,0)</f>
        <v>38</v>
      </c>
      <c r="Q62" s="61" t="n">
        <f aca="false">1-K62/(O62*$B$4)</f>
        <v>0.260192936571279</v>
      </c>
      <c r="R62" s="62"/>
      <c r="T62" s="70"/>
      <c r="U62" s="1" t="s">
        <v>258</v>
      </c>
      <c r="V62" s="64"/>
      <c r="X62" s="64"/>
      <c r="Y62" s="64"/>
      <c r="AA62" s="65" t="n">
        <f aca="false">O62</f>
        <v>38</v>
      </c>
      <c r="AB62" s="1" t="n">
        <f aca="false">C62</f>
        <v>1</v>
      </c>
      <c r="AC62" s="1" t="str">
        <f aca="false">IF(B62="шт","—",P62)</f>
        <v>—</v>
      </c>
      <c r="AD62" s="66" t="s">
        <v>153</v>
      </c>
      <c r="AE62" s="66" t="s">
        <v>151</v>
      </c>
      <c r="AF62" s="66" t="s">
        <v>259</v>
      </c>
      <c r="AG62" s="66" t="s">
        <v>170</v>
      </c>
      <c r="AH62" s="67" t="n">
        <f aca="false">$B$5</f>
        <v>0.25</v>
      </c>
      <c r="AP62" s="1" t="s">
        <v>156</v>
      </c>
    </row>
    <row r="63" customFormat="false" ht="15" hidden="false" customHeight="true" outlineLevel="0" collapsed="false">
      <c r="A63" s="59" t="s">
        <v>261</v>
      </c>
      <c r="B63" s="59" t="s">
        <v>163</v>
      </c>
      <c r="C63" s="59" t="n">
        <v>5</v>
      </c>
      <c r="D63" s="59" t="n">
        <v>5</v>
      </c>
      <c r="E63" s="59" t="s">
        <v>168</v>
      </c>
      <c r="F63" s="59" t="n">
        <v>0.067</v>
      </c>
      <c r="G63" s="59" t="s">
        <v>150</v>
      </c>
      <c r="H63" s="59" t="n">
        <v>0.095</v>
      </c>
      <c r="I63" s="59" t="s">
        <v>151</v>
      </c>
      <c r="J63" s="59"/>
      <c r="K63" s="59" t="n">
        <f aca="false">F63*C63*IF(E63="OpenRouter",$F$3,$F$4)</f>
        <v>35.57097</v>
      </c>
      <c r="L63" s="59" t="n">
        <v>145</v>
      </c>
      <c r="M63" s="59" t="n">
        <f aca="false">ROUNDUP(K63*(C63/D63)/($B$4*(1-IF(B63="фикс",$B$6,AH63))),0)</f>
        <v>144</v>
      </c>
      <c r="N63" s="59" t="n">
        <v>0</v>
      </c>
      <c r="O63" s="60" t="n">
        <f aca="false">O18</f>
        <v>145</v>
      </c>
      <c r="P63" s="59" t="n">
        <f aca="false">ROUND(O63/C63,0)</f>
        <v>29</v>
      </c>
      <c r="Q63" s="61" t="n">
        <f aca="false">1-K63/(O63*$B$4)</f>
        <v>0.259109378780051</v>
      </c>
      <c r="R63" s="62"/>
      <c r="T63" s="70"/>
      <c r="U63" s="1" t="s">
        <v>262</v>
      </c>
      <c r="V63" s="64"/>
      <c r="X63" s="64"/>
      <c r="Y63" s="64"/>
      <c r="AA63" s="65" t="n">
        <f aca="false">O63</f>
        <v>145</v>
      </c>
      <c r="AB63" s="1" t="n">
        <f aca="false">C63</f>
        <v>5</v>
      </c>
      <c r="AC63" s="1" t="n">
        <f aca="false">IF(B63="шт","—",P63)</f>
        <v>29</v>
      </c>
      <c r="AD63" s="66" t="s">
        <v>168</v>
      </c>
      <c r="AE63" s="66" t="s">
        <v>153</v>
      </c>
      <c r="AF63" s="66" t="s">
        <v>263</v>
      </c>
      <c r="AG63" s="68" t="s">
        <v>264</v>
      </c>
      <c r="AH63" s="67" t="n">
        <f aca="false">$B$5</f>
        <v>0.25</v>
      </c>
      <c r="AP63" s="1" t="s">
        <v>156</v>
      </c>
      <c r="AQ63" s="1" t="s">
        <v>156</v>
      </c>
    </row>
    <row r="64" customFormat="false" ht="15" hidden="false" customHeight="true" outlineLevel="0" collapsed="false">
      <c r="A64" s="59" t="s">
        <v>265</v>
      </c>
      <c r="B64" s="59" t="s">
        <v>163</v>
      </c>
      <c r="C64" s="59" t="n">
        <v>5</v>
      </c>
      <c r="D64" s="59" t="n">
        <v>5</v>
      </c>
      <c r="E64" s="59" t="s">
        <v>168</v>
      </c>
      <c r="F64" s="59" t="n">
        <v>0.151</v>
      </c>
      <c r="G64" s="59" t="s">
        <v>150</v>
      </c>
      <c r="H64" s="59" t="n">
        <v>0.205</v>
      </c>
      <c r="I64" s="59" t="s">
        <v>151</v>
      </c>
      <c r="J64" s="59"/>
      <c r="K64" s="59" t="n">
        <f aca="false">F64*C64*IF(E64="OpenRouter",$F$3,$F$4)</f>
        <v>80.16741</v>
      </c>
      <c r="L64" s="59" t="n">
        <v>323</v>
      </c>
      <c r="M64" s="59" t="n">
        <f aca="false">ROUNDUP(K64*(C64/D64)/($B$4*(1-IF(B64="фикс",$B$6,AH64))),0)</f>
        <v>323</v>
      </c>
      <c r="N64" s="59" t="n">
        <v>0</v>
      </c>
      <c r="O64" s="60" t="n">
        <f aca="false">O17</f>
        <v>323</v>
      </c>
      <c r="P64" s="59" t="n">
        <f aca="false">ROUND(O64/C64,0)</f>
        <v>65</v>
      </c>
      <c r="Q64" s="61" t="n">
        <f aca="false">1-K64/(O64*$B$4)</f>
        <v>0.250413559834999</v>
      </c>
      <c r="R64" s="62"/>
      <c r="T64" s="70"/>
      <c r="U64" s="1" t="s">
        <v>262</v>
      </c>
      <c r="V64" s="64"/>
      <c r="X64" s="64"/>
      <c r="Y64" s="64"/>
      <c r="AA64" s="65" t="n">
        <f aca="false">O64</f>
        <v>323</v>
      </c>
      <c r="AB64" s="1" t="n">
        <f aca="false">C64</f>
        <v>5</v>
      </c>
      <c r="AC64" s="1" t="n">
        <f aca="false">IF(B64="шт","—",P64)</f>
        <v>65</v>
      </c>
      <c r="AD64" s="66" t="s">
        <v>168</v>
      </c>
      <c r="AE64" s="66" t="s">
        <v>153</v>
      </c>
      <c r="AF64" s="66" t="s">
        <v>263</v>
      </c>
      <c r="AG64" s="68" t="s">
        <v>264</v>
      </c>
      <c r="AH64" s="67" t="n">
        <f aca="false">$B$5</f>
        <v>0.25</v>
      </c>
      <c r="AP64" s="1" t="s">
        <v>156</v>
      </c>
      <c r="AQ64" s="1" t="s">
        <v>156</v>
      </c>
    </row>
    <row r="65" customFormat="false" ht="15" hidden="false" customHeight="true" outlineLevel="0" collapsed="false">
      <c r="A65" s="59" t="s">
        <v>266</v>
      </c>
      <c r="B65" s="59" t="s">
        <v>163</v>
      </c>
      <c r="C65" s="59" t="n">
        <v>5</v>
      </c>
      <c r="D65" s="59" t="n">
        <v>5</v>
      </c>
      <c r="E65" s="59" t="s">
        <v>168</v>
      </c>
      <c r="F65" s="59" t="n">
        <v>0.34</v>
      </c>
      <c r="G65" s="59" t="s">
        <v>150</v>
      </c>
      <c r="H65" s="59" t="n">
        <v>0.51</v>
      </c>
      <c r="I65" s="59" t="s">
        <v>151</v>
      </c>
      <c r="J65" s="59"/>
      <c r="K65" s="59" t="n">
        <f aca="false">F65*C65*IF(E65="OpenRouter",$F$3,$F$4)</f>
        <v>180.5094</v>
      </c>
      <c r="L65" s="59" t="n">
        <v>776</v>
      </c>
      <c r="M65" s="59" t="n">
        <f aca="false">ROUNDUP(K65*(C65/D65)/($B$4*(1-IF(B65="фикс",$B$6,AH65))),0)</f>
        <v>727</v>
      </c>
      <c r="N65" s="59" t="n">
        <v>0</v>
      </c>
      <c r="O65" s="60" t="n">
        <f aca="false">O16</f>
        <v>775</v>
      </c>
      <c r="P65" s="59" t="n">
        <f aca="false">ROUND(O65/C65,0)</f>
        <v>155</v>
      </c>
      <c r="Q65" s="61" t="n">
        <f aca="false">1-K65/(O65*$B$4)</f>
        <v>0.296564128528772</v>
      </c>
      <c r="R65" s="62"/>
      <c r="T65" s="70"/>
      <c r="U65" s="1" t="s">
        <v>262</v>
      </c>
      <c r="V65" s="64"/>
      <c r="X65" s="64"/>
      <c r="Y65" s="64"/>
      <c r="AA65" s="65" t="n">
        <f aca="false">O65</f>
        <v>775</v>
      </c>
      <c r="AB65" s="1" t="n">
        <f aca="false">C65</f>
        <v>5</v>
      </c>
      <c r="AC65" s="1" t="n">
        <f aca="false">IF(B65="шт","—",P65)</f>
        <v>155</v>
      </c>
      <c r="AD65" s="66" t="s">
        <v>168</v>
      </c>
      <c r="AE65" s="66" t="s">
        <v>153</v>
      </c>
      <c r="AF65" s="66" t="s">
        <v>263</v>
      </c>
      <c r="AG65" s="68" t="s">
        <v>264</v>
      </c>
      <c r="AH65" s="67" t="n">
        <f aca="false">$B$5</f>
        <v>0.25</v>
      </c>
      <c r="AP65" s="1" t="s">
        <v>156</v>
      </c>
      <c r="AQ65" s="1" t="s">
        <v>156</v>
      </c>
    </row>
    <row r="66" customFormat="false" ht="15" hidden="false" customHeight="true" outlineLevel="0" collapsed="false">
      <c r="A66" s="59" t="s">
        <v>267</v>
      </c>
      <c r="B66" s="59" t="s">
        <v>163</v>
      </c>
      <c r="C66" s="59" t="n">
        <v>5</v>
      </c>
      <c r="D66" s="59" t="n">
        <v>5</v>
      </c>
      <c r="E66" s="59" t="s">
        <v>150</v>
      </c>
      <c r="F66" s="59" t="n">
        <v>1.04</v>
      </c>
      <c r="G66" s="59" t="s">
        <v>151</v>
      </c>
      <c r="H66" s="59" t="s">
        <v>151</v>
      </c>
      <c r="I66" s="59" t="s">
        <v>151</v>
      </c>
      <c r="J66" s="59"/>
      <c r="K66" s="59" t="n">
        <f aca="false">F66*C66*IF(E66="OpenRouter",$F$3,$F$4)</f>
        <v>523.2838</v>
      </c>
      <c r="L66" s="59" t="n">
        <v>0</v>
      </c>
      <c r="M66" s="59" t="n">
        <f aca="false">ROUNDUP(K66*(C66/D66)/($B$4*(1-IF(B66="фикс",$B$6,AH66))),0)</f>
        <v>2108</v>
      </c>
      <c r="N66" s="59" t="n">
        <v>0</v>
      </c>
      <c r="O66" s="60" t="n">
        <f aca="false">O15</f>
        <v>2108</v>
      </c>
      <c r="P66" s="59" t="n">
        <f aca="false">ROUND(O66/C66,0)</f>
        <v>422</v>
      </c>
      <c r="Q66" s="61" t="n">
        <f aca="false">1-K66/(O66*$B$4)</f>
        <v>0.250290395745857</v>
      </c>
      <c r="R66" s="62"/>
      <c r="T66" s="70"/>
      <c r="U66" s="1" t="s">
        <v>268</v>
      </c>
      <c r="V66" s="64"/>
      <c r="X66" s="64"/>
      <c r="Y66" s="64"/>
      <c r="AA66" s="65" t="n">
        <f aca="false">O66</f>
        <v>2108</v>
      </c>
      <c r="AB66" s="1" t="n">
        <f aca="false">C66</f>
        <v>5</v>
      </c>
      <c r="AC66" s="1" t="n">
        <f aca="false">IF(B66="шт","—",P66)</f>
        <v>422</v>
      </c>
      <c r="AD66" s="66" t="s">
        <v>153</v>
      </c>
      <c r="AE66" s="66" t="s">
        <v>151</v>
      </c>
      <c r="AF66" s="66" t="s">
        <v>263</v>
      </c>
      <c r="AG66" s="68" t="s">
        <v>269</v>
      </c>
      <c r="AH66" s="67" t="n">
        <f aca="false">$B$5</f>
        <v>0.25</v>
      </c>
      <c r="AP66" s="1" t="s">
        <v>156</v>
      </c>
    </row>
    <row r="67" customFormat="false" ht="15" hidden="false" customHeight="true" outlineLevel="0" collapsed="false">
      <c r="A67" s="59" t="s">
        <v>270</v>
      </c>
      <c r="B67" s="59" t="s">
        <v>163</v>
      </c>
      <c r="C67" s="59" t="n">
        <v>5</v>
      </c>
      <c r="D67" s="59" t="n">
        <v>5</v>
      </c>
      <c r="E67" s="59" t="s">
        <v>168</v>
      </c>
      <c r="F67" s="59" t="n">
        <v>0.0538</v>
      </c>
      <c r="G67" s="59" t="s">
        <v>150</v>
      </c>
      <c r="H67" s="59" t="n">
        <v>0.0775</v>
      </c>
      <c r="I67" s="59" t="s">
        <v>151</v>
      </c>
      <c r="J67" s="59"/>
      <c r="K67" s="59" t="n">
        <f aca="false">F67*C67*IF(E67="OpenRouter",$F$3,$F$4)</f>
        <v>28.562958</v>
      </c>
      <c r="L67" s="59" t="n">
        <v>118</v>
      </c>
      <c r="M67" s="59" t="n">
        <f aca="false">ROUNDUP(K67*(C67/D67)/($B$4*(1-IF(B67="фикс",$B$6,AH67))),0)</f>
        <v>116</v>
      </c>
      <c r="N67" s="59" t="n">
        <v>0</v>
      </c>
      <c r="O67" s="60" t="n">
        <f aca="false">O20</f>
        <v>118</v>
      </c>
      <c r="P67" s="59" t="n">
        <f aca="false">ROUND(O67/C67,0)</f>
        <v>24</v>
      </c>
      <c r="Q67" s="61" t="n">
        <f aca="false">1-K67/(O67*$B$4)</f>
        <v>0.268949185917427</v>
      </c>
      <c r="R67" s="62"/>
      <c r="T67" s="70"/>
      <c r="U67" s="1" t="s">
        <v>271</v>
      </c>
      <c r="V67" s="64"/>
      <c r="X67" s="64"/>
      <c r="Y67" s="64"/>
      <c r="AA67" s="65" t="n">
        <f aca="false">O67</f>
        <v>118</v>
      </c>
      <c r="AB67" s="1" t="n">
        <f aca="false">C67</f>
        <v>5</v>
      </c>
      <c r="AC67" s="1" t="n">
        <f aca="false">IF(B67="шт","—",P67)</f>
        <v>24</v>
      </c>
      <c r="AD67" s="66" t="s">
        <v>168</v>
      </c>
      <c r="AE67" s="66" t="s">
        <v>153</v>
      </c>
      <c r="AF67" s="66" t="s">
        <v>263</v>
      </c>
      <c r="AG67" s="68" t="s">
        <v>264</v>
      </c>
      <c r="AH67" s="67" t="n">
        <f aca="false">$B$5</f>
        <v>0.25</v>
      </c>
      <c r="AP67" s="1" t="s">
        <v>156</v>
      </c>
      <c r="AQ67" s="1" t="s">
        <v>156</v>
      </c>
    </row>
    <row r="68" customFormat="false" ht="15" hidden="false" customHeight="true" outlineLevel="0" collapsed="false">
      <c r="A68" s="59" t="s">
        <v>272</v>
      </c>
      <c r="B68" s="59" t="s">
        <v>163</v>
      </c>
      <c r="C68" s="59" t="n">
        <v>5</v>
      </c>
      <c r="D68" s="59" t="n">
        <v>5</v>
      </c>
      <c r="E68" s="59" t="s">
        <v>168</v>
      </c>
      <c r="F68" s="59" t="n">
        <v>0.121</v>
      </c>
      <c r="G68" s="59" t="s">
        <v>150</v>
      </c>
      <c r="H68" s="59" t="n">
        <v>0.165</v>
      </c>
      <c r="I68" s="59" t="s">
        <v>151</v>
      </c>
      <c r="J68" s="59"/>
      <c r="K68" s="59" t="n">
        <f aca="false">F68*C68*IF(E68="OpenRouter",$F$3,$F$4)</f>
        <v>64.24011</v>
      </c>
      <c r="L68" s="59" t="n">
        <v>259</v>
      </c>
      <c r="M68" s="59" t="n">
        <f aca="false">ROUNDUP(K68*(C68/D68)/($B$4*(1-IF(B68="фикс",$B$6,AH68))),0)</f>
        <v>259</v>
      </c>
      <c r="N68" s="59" t="n">
        <v>0</v>
      </c>
      <c r="O68" s="60" t="n">
        <f aca="false">O19</f>
        <v>259</v>
      </c>
      <c r="P68" s="59" t="n">
        <f aca="false">ROUND(O68/C68,0)</f>
        <v>52</v>
      </c>
      <c r="Q68" s="61" t="n">
        <f aca="false">1-K68/(O68*$B$4)</f>
        <v>0.25091189135573</v>
      </c>
      <c r="R68" s="62"/>
      <c r="T68" s="70"/>
      <c r="U68" s="1" t="s">
        <v>271</v>
      </c>
      <c r="V68" s="64"/>
      <c r="X68" s="64"/>
      <c r="Y68" s="64"/>
      <c r="AA68" s="65" t="n">
        <f aca="false">O68</f>
        <v>259</v>
      </c>
      <c r="AB68" s="1" t="n">
        <f aca="false">C68</f>
        <v>5</v>
      </c>
      <c r="AC68" s="1" t="n">
        <f aca="false">IF(B68="шт","—",P68)</f>
        <v>52</v>
      </c>
      <c r="AD68" s="66" t="s">
        <v>168</v>
      </c>
      <c r="AE68" s="66" t="s">
        <v>153</v>
      </c>
      <c r="AF68" s="66" t="s">
        <v>263</v>
      </c>
      <c r="AG68" s="68" t="s">
        <v>264</v>
      </c>
      <c r="AH68" s="67" t="n">
        <f aca="false">$B$5</f>
        <v>0.25</v>
      </c>
      <c r="AP68" s="1" t="s">
        <v>156</v>
      </c>
      <c r="AQ68" s="1" t="s">
        <v>156</v>
      </c>
    </row>
    <row r="69" customFormat="false" ht="15" hidden="false" customHeight="true" outlineLevel="0" collapsed="false">
      <c r="A69" s="59" t="s">
        <v>273</v>
      </c>
      <c r="B69" s="59" t="s">
        <v>163</v>
      </c>
      <c r="C69" s="59" t="n">
        <v>5</v>
      </c>
      <c r="D69" s="59" t="n">
        <v>5</v>
      </c>
      <c r="E69" s="59" t="s">
        <v>168</v>
      </c>
      <c r="F69" s="59" t="n">
        <v>0.084</v>
      </c>
      <c r="G69" s="59" t="s">
        <v>151</v>
      </c>
      <c r="H69" s="59" t="s">
        <v>151</v>
      </c>
      <c r="I69" s="59" t="s">
        <v>151</v>
      </c>
      <c r="J69" s="59"/>
      <c r="K69" s="59" t="n">
        <f aca="false">F69*C69*IF(E69="OpenRouter",$F$3,$F$4)</f>
        <v>44.59644</v>
      </c>
      <c r="L69" s="59" t="n">
        <v>0</v>
      </c>
      <c r="M69" s="59" t="n">
        <f aca="false">ROUNDUP(K69*(C69/D69)/($B$4*(1-IF(B69="фикс",$B$6,AH69))),0)</f>
        <v>180</v>
      </c>
      <c r="N69" s="59" t="n">
        <v>0</v>
      </c>
      <c r="O69" s="60" t="n">
        <f aca="false">MAX(L69,M69,N69)</f>
        <v>180</v>
      </c>
      <c r="P69" s="59" t="n">
        <f aca="false">ROUND(O69/C69,0)</f>
        <v>36</v>
      </c>
      <c r="Q69" s="61" t="n">
        <f aca="false">1-K69/(O69*$B$4)</f>
        <v>0.251737332797762</v>
      </c>
      <c r="R69" s="62"/>
      <c r="U69" s="63" t="s">
        <v>187</v>
      </c>
      <c r="AA69" s="65" t="n">
        <f aca="false">O69</f>
        <v>180</v>
      </c>
      <c r="AB69" s="1" t="n">
        <f aca="false">C69</f>
        <v>5</v>
      </c>
      <c r="AC69" s="1" t="n">
        <f aca="false">P69</f>
        <v>36</v>
      </c>
      <c r="AD69" s="66" t="s">
        <v>168</v>
      </c>
      <c r="AE69" s="66" t="s">
        <v>151</v>
      </c>
      <c r="AF69" s="66" t="s">
        <v>188</v>
      </c>
      <c r="AG69" s="66" t="s">
        <v>189</v>
      </c>
      <c r="AH69" s="67" t="n">
        <f aca="false">$B$5</f>
        <v>0.25</v>
      </c>
      <c r="AP69" s="1" t="s">
        <v>156</v>
      </c>
    </row>
    <row r="70" customFormat="false" ht="15" hidden="false" customHeight="true" outlineLevel="0" collapsed="false">
      <c r="A70" s="71" t="s">
        <v>274</v>
      </c>
      <c r="B70" s="71" t="s">
        <v>163</v>
      </c>
      <c r="C70" s="71" t="n">
        <v>5</v>
      </c>
      <c r="D70" s="71" t="n">
        <v>5</v>
      </c>
      <c r="E70" s="71" t="s">
        <v>150</v>
      </c>
      <c r="F70" s="71" t="n">
        <v>0.135</v>
      </c>
      <c r="G70" s="71" t="s">
        <v>151</v>
      </c>
      <c r="H70" s="71" t="s">
        <v>151</v>
      </c>
      <c r="I70" s="71" t="s">
        <v>151</v>
      </c>
      <c r="J70" s="71"/>
      <c r="K70" s="71" t="n">
        <f aca="false">F70*C70*IF(E70="OpenRouter",$F$3,$F$4)</f>
        <v>67.9262625</v>
      </c>
      <c r="L70" s="71" t="n">
        <v>0</v>
      </c>
      <c r="M70" s="71" t="n">
        <f aca="false">ROUNDUP(K70*(C70/D70)/($B$4*(1-AH70)),0)</f>
        <v>274</v>
      </c>
      <c r="N70" s="71" t="n">
        <v>0</v>
      </c>
      <c r="O70" s="72" t="n">
        <f aca="false">MAX(L70,M70,N70)</f>
        <v>274</v>
      </c>
      <c r="P70" s="71" t="n">
        <f aca="false">ROUND(O70/C70,0)</f>
        <v>55</v>
      </c>
      <c r="Q70" s="73" t="n">
        <f aca="false">1-K70/(O70*$B$4)</f>
        <v>0.251290148867757</v>
      </c>
      <c r="R70" s="74"/>
      <c r="S70" s="75"/>
      <c r="T70" s="75"/>
      <c r="U70" s="75" t="s">
        <v>275</v>
      </c>
      <c r="V70" s="75"/>
      <c r="W70" s="75"/>
      <c r="X70" s="75"/>
      <c r="Y70" s="75"/>
      <c r="Z70" s="75"/>
      <c r="AA70" s="77" t="n">
        <f aca="false">O70</f>
        <v>274</v>
      </c>
      <c r="AB70" s="75" t="n">
        <f aca="false">C70</f>
        <v>5</v>
      </c>
      <c r="AC70" s="75" t="n">
        <f aca="false">IF(B70="за клип","—",P70)</f>
        <v>55</v>
      </c>
      <c r="AD70" s="83" t="s">
        <v>153</v>
      </c>
      <c r="AE70" s="83" t="s">
        <v>151</v>
      </c>
      <c r="AF70" s="83" t="s">
        <v>276</v>
      </c>
      <c r="AG70" s="83" t="s">
        <v>277</v>
      </c>
      <c r="AH70" s="84" t="n">
        <v>0.25</v>
      </c>
      <c r="AI70" s="75"/>
    </row>
    <row r="71" customFormat="false" ht="15" hidden="false" customHeight="true" outlineLevel="0" collapsed="false">
      <c r="A71" s="71" t="s">
        <v>278</v>
      </c>
      <c r="B71" s="71" t="s">
        <v>163</v>
      </c>
      <c r="C71" s="71" t="n">
        <v>5</v>
      </c>
      <c r="D71" s="71" t="n">
        <v>5</v>
      </c>
      <c r="E71" s="71" t="s">
        <v>150</v>
      </c>
      <c r="F71" s="71" t="n">
        <v>0.335</v>
      </c>
      <c r="G71" s="71" t="s">
        <v>151</v>
      </c>
      <c r="H71" s="71" t="s">
        <v>151</v>
      </c>
      <c r="I71" s="71" t="s">
        <v>151</v>
      </c>
      <c r="J71" s="71"/>
      <c r="K71" s="71" t="n">
        <f aca="false">F71*C71*IF(E71="OpenRouter",$F$3,$F$4)</f>
        <v>168.5577625</v>
      </c>
      <c r="L71" s="71" t="n">
        <v>0</v>
      </c>
      <c r="M71" s="71" t="n">
        <f aca="false">ROUNDUP(K71*(C71/D71)/($B$4*(1-AH71)),0)</f>
        <v>679</v>
      </c>
      <c r="N71" s="71" t="n">
        <v>0</v>
      </c>
      <c r="O71" s="72" t="n">
        <f aca="false">MAX(L71,M71,N71)</f>
        <v>679</v>
      </c>
      <c r="P71" s="71" t="n">
        <f aca="false">ROUND(O71/C71,0)</f>
        <v>136</v>
      </c>
      <c r="Q71" s="73" t="n">
        <f aca="false">1-K71/(O71*$B$4)</f>
        <v>0.250269162325548</v>
      </c>
      <c r="R71" s="74"/>
      <c r="S71" s="75"/>
      <c r="T71" s="75"/>
      <c r="U71" s="75" t="s">
        <v>275</v>
      </c>
      <c r="V71" s="75"/>
      <c r="W71" s="75"/>
      <c r="X71" s="75"/>
      <c r="Y71" s="75"/>
      <c r="Z71" s="75"/>
      <c r="AA71" s="77" t="n">
        <f aca="false">O71</f>
        <v>679</v>
      </c>
      <c r="AB71" s="75" t="n">
        <f aca="false">C71</f>
        <v>5</v>
      </c>
      <c r="AC71" s="75" t="n">
        <f aca="false">IF(B71="за клип","—",P71)</f>
        <v>136</v>
      </c>
      <c r="AD71" s="83" t="s">
        <v>153</v>
      </c>
      <c r="AE71" s="83" t="s">
        <v>151</v>
      </c>
      <c r="AF71" s="83" t="s">
        <v>276</v>
      </c>
      <c r="AG71" s="83" t="s">
        <v>277</v>
      </c>
      <c r="AH71" s="84" t="n">
        <v>0.25</v>
      </c>
      <c r="AI71" s="75"/>
    </row>
    <row r="72" customFormat="false" ht="15" hidden="false" customHeight="true" outlineLevel="0" collapsed="false">
      <c r="A72" s="59" t="s">
        <v>279</v>
      </c>
      <c r="B72" s="59" t="s">
        <v>149</v>
      </c>
      <c r="C72" s="59" t="n">
        <v>8</v>
      </c>
      <c r="D72" s="59" t="n">
        <v>8</v>
      </c>
      <c r="E72" s="59" t="s">
        <v>150</v>
      </c>
      <c r="F72" s="59" t="n">
        <v>1.85</v>
      </c>
      <c r="G72" s="59" t="s">
        <v>151</v>
      </c>
      <c r="H72" s="59" t="s">
        <v>151</v>
      </c>
      <c r="I72" s="59" t="n">
        <v>148</v>
      </c>
      <c r="J72" s="59"/>
      <c r="K72" s="59" t="n">
        <f aca="false">F72*IF(E72="OpenRouter",$F$3,$F$4)</f>
        <v>186.168275</v>
      </c>
      <c r="L72" s="59" t="n">
        <f aca="false">ROUNDUP(5.014*T72,0)</f>
        <v>743</v>
      </c>
      <c r="M72" s="59" t="n">
        <f aca="false">ROUNDUP(K72*(C72/D72)/($B$4*(1-AH72)),0)</f>
        <v>750</v>
      </c>
      <c r="N72" s="59" t="n">
        <v>0</v>
      </c>
      <c r="O72" s="60" t="n">
        <f aca="false">MAX(M72,N72)</f>
        <v>750</v>
      </c>
      <c r="P72" s="59" t="n">
        <f aca="false">ROUND(O72/C72,0)</f>
        <v>94</v>
      </c>
      <c r="Q72" s="61" t="n">
        <f aca="false">1-K72/(O72*$B$4)</f>
        <v>0.250328842392229</v>
      </c>
      <c r="R72" s="62"/>
      <c r="T72" s="1" t="n">
        <v>148</v>
      </c>
      <c r="U72" s="63" t="s">
        <v>280</v>
      </c>
      <c r="AA72" s="65" t="n">
        <f aca="false">O72</f>
        <v>750</v>
      </c>
      <c r="AB72" s="1" t="n">
        <f aca="false">C72</f>
        <v>8</v>
      </c>
      <c r="AC72" s="1" t="str">
        <f aca="false">IF(B72="за клип","—",P72)</f>
        <v>—</v>
      </c>
      <c r="AD72" s="66" t="s">
        <v>153</v>
      </c>
      <c r="AE72" s="66" t="s">
        <v>151</v>
      </c>
      <c r="AF72" s="66" t="s">
        <v>154</v>
      </c>
      <c r="AG72" s="66" t="s">
        <v>281</v>
      </c>
      <c r="AH72" s="67" t="n">
        <v>0.25</v>
      </c>
      <c r="AP72" s="1" t="s">
        <v>156</v>
      </c>
    </row>
    <row r="73" customFormat="false" ht="15" hidden="false" customHeight="true" outlineLevel="0" collapsed="false">
      <c r="A73" s="59" t="s">
        <v>282</v>
      </c>
      <c r="B73" s="59" t="s">
        <v>149</v>
      </c>
      <c r="C73" s="59" t="n">
        <v>8</v>
      </c>
      <c r="D73" s="59" t="n">
        <v>8</v>
      </c>
      <c r="E73" s="59" t="s">
        <v>150</v>
      </c>
      <c r="F73" s="59" t="n">
        <v>0.9</v>
      </c>
      <c r="G73" s="59" t="s">
        <v>151</v>
      </c>
      <c r="H73" s="59" t="s">
        <v>151</v>
      </c>
      <c r="I73" s="59" t="n">
        <v>48</v>
      </c>
      <c r="J73" s="59"/>
      <c r="K73" s="59" t="n">
        <f aca="false">F73*IF(E73="OpenRouter",$F$3,$F$4)</f>
        <v>90.56835</v>
      </c>
      <c r="L73" s="59" t="n">
        <f aca="false">ROUNDUP(5.014*T73,0)</f>
        <v>241</v>
      </c>
      <c r="M73" s="59" t="n">
        <f aca="false">ROUNDUP(K73*(C73/D73)/($B$4*(1-AH73)),0)</f>
        <v>365</v>
      </c>
      <c r="N73" s="59" t="n">
        <v>0</v>
      </c>
      <c r="O73" s="60" t="n">
        <f aca="false">MAX(M73,N73)</f>
        <v>365</v>
      </c>
      <c r="P73" s="59" t="n">
        <f aca="false">ROUND(O73/C73,0)</f>
        <v>46</v>
      </c>
      <c r="Q73" s="61" t="n">
        <f aca="false">1-K73/(O73*$B$4)</f>
        <v>0.250606395579052</v>
      </c>
      <c r="R73" s="62"/>
      <c r="T73" s="1" t="n">
        <v>48</v>
      </c>
      <c r="U73" s="63" t="s">
        <v>280</v>
      </c>
      <c r="AA73" s="65" t="n">
        <f aca="false">O73</f>
        <v>365</v>
      </c>
      <c r="AB73" s="1" t="n">
        <f aca="false">C73</f>
        <v>8</v>
      </c>
      <c r="AC73" s="1" t="str">
        <f aca="false">IF(B73="за клип","—",P73)</f>
        <v>—</v>
      </c>
      <c r="AD73" s="66" t="s">
        <v>153</v>
      </c>
      <c r="AE73" s="66" t="s">
        <v>151</v>
      </c>
      <c r="AF73" s="66" t="s">
        <v>283</v>
      </c>
      <c r="AG73" s="66" t="s">
        <v>281</v>
      </c>
      <c r="AH73" s="67" t="n">
        <v>0.25</v>
      </c>
      <c r="AP73" s="1" t="s">
        <v>156</v>
      </c>
    </row>
    <row r="74" customFormat="false" ht="15" hidden="false" customHeight="true" outlineLevel="0" collapsed="false">
      <c r="A74" s="59" t="s">
        <v>284</v>
      </c>
      <c r="B74" s="59" t="s">
        <v>149</v>
      </c>
      <c r="C74" s="59" t="n">
        <v>8</v>
      </c>
      <c r="D74" s="59" t="n">
        <v>8</v>
      </c>
      <c r="E74" s="59" t="s">
        <v>150</v>
      </c>
      <c r="F74" s="59" t="n">
        <v>0.75</v>
      </c>
      <c r="G74" s="59" t="s">
        <v>151</v>
      </c>
      <c r="H74" s="59" t="s">
        <v>151</v>
      </c>
      <c r="I74" s="59" t="n">
        <v>29</v>
      </c>
      <c r="J74" s="59"/>
      <c r="K74" s="59" t="n">
        <f aca="false">F74*IF(E74="OpenRouter",$F$3,$F$4)</f>
        <v>75.473625</v>
      </c>
      <c r="L74" s="59" t="n">
        <f aca="false">ROUNDUP(5.014*T74,0)</f>
        <v>146</v>
      </c>
      <c r="M74" s="59" t="n">
        <f aca="false">ROUNDUP(K74*(C74/D74)/($B$4*(1-AH74)),0)</f>
        <v>304</v>
      </c>
      <c r="N74" s="59" t="n">
        <v>0</v>
      </c>
      <c r="O74" s="60" t="n">
        <f aca="false">MAX(M74,N74)</f>
        <v>304</v>
      </c>
      <c r="P74" s="59" t="n">
        <f aca="false">ROUND(O74/C74,0)</f>
        <v>38</v>
      </c>
      <c r="Q74" s="61" t="n">
        <f aca="false">1-K74/(O74*$B$4)</f>
        <v>0.250195543822242</v>
      </c>
      <c r="R74" s="62"/>
      <c r="T74" s="1" t="n">
        <v>29</v>
      </c>
      <c r="U74" s="63" t="s">
        <v>280</v>
      </c>
      <c r="AA74" s="65" t="n">
        <f aca="false">O74</f>
        <v>304</v>
      </c>
      <c r="AB74" s="1" t="n">
        <f aca="false">C74</f>
        <v>8</v>
      </c>
      <c r="AC74" s="1" t="str">
        <f aca="false">IF(B74="за клип","—",P74)</f>
        <v>—</v>
      </c>
      <c r="AD74" s="66" t="s">
        <v>153</v>
      </c>
      <c r="AE74" s="66" t="s">
        <v>151</v>
      </c>
      <c r="AF74" s="66" t="s">
        <v>285</v>
      </c>
      <c r="AG74" s="66" t="s">
        <v>281</v>
      </c>
      <c r="AH74" s="67" t="n">
        <v>0.25</v>
      </c>
      <c r="AP74" s="1" t="s">
        <v>156</v>
      </c>
    </row>
    <row r="75" customFormat="false" ht="15" hidden="false" customHeight="true" outlineLevel="0" collapsed="false">
      <c r="A75" s="71" t="s">
        <v>286</v>
      </c>
      <c r="B75" s="71" t="s">
        <v>163</v>
      </c>
      <c r="C75" s="71" t="n">
        <v>5</v>
      </c>
      <c r="D75" s="71" t="n">
        <v>5</v>
      </c>
      <c r="E75" s="71" t="s">
        <v>150</v>
      </c>
      <c r="F75" s="71" t="n">
        <v>0.09</v>
      </c>
      <c r="G75" s="71" t="s">
        <v>151</v>
      </c>
      <c r="H75" s="71" t="s">
        <v>151</v>
      </c>
      <c r="I75" s="71" t="s">
        <v>151</v>
      </c>
      <c r="J75" s="71"/>
      <c r="K75" s="71" t="n">
        <f aca="false">F75*C75*IF(E75="OpenRouter",$F$3,$F$4)</f>
        <v>45.284175</v>
      </c>
      <c r="L75" s="71" t="n">
        <v>0</v>
      </c>
      <c r="M75" s="71" t="n">
        <f aca="false">ROUNDUP(K75*(C75/D75)/($B$4*(1-AH75)),0)</f>
        <v>183</v>
      </c>
      <c r="N75" s="71" t="n">
        <v>0</v>
      </c>
      <c r="O75" s="72" t="n">
        <f aca="false">MAX(L75,M75,N75)</f>
        <v>183</v>
      </c>
      <c r="P75" s="71" t="n">
        <f aca="false">ROUND(O75/C75,0)</f>
        <v>37</v>
      </c>
      <c r="Q75" s="73" t="n">
        <f aca="false">1-K75/(O75*$B$4)</f>
        <v>0.252653919088398</v>
      </c>
      <c r="R75" s="74"/>
      <c r="S75" s="75"/>
      <c r="T75" s="75"/>
      <c r="U75" s="75" t="s">
        <v>275</v>
      </c>
      <c r="V75" s="75"/>
      <c r="W75" s="75"/>
      <c r="X75" s="75"/>
      <c r="Y75" s="75"/>
      <c r="Z75" s="75"/>
      <c r="AA75" s="77" t="n">
        <f aca="false">O75</f>
        <v>183</v>
      </c>
      <c r="AB75" s="75" t="n">
        <f aca="false">C75</f>
        <v>5</v>
      </c>
      <c r="AC75" s="75" t="n">
        <f aca="false">P75</f>
        <v>37</v>
      </c>
      <c r="AD75" s="83" t="s">
        <v>153</v>
      </c>
      <c r="AE75" s="83" t="s">
        <v>151</v>
      </c>
      <c r="AF75" s="83" t="s">
        <v>276</v>
      </c>
      <c r="AG75" s="83" t="s">
        <v>287</v>
      </c>
      <c r="AH75" s="84" t="n">
        <v>0.25</v>
      </c>
      <c r="AI75" s="75"/>
    </row>
    <row r="76" customFormat="false" ht="15" hidden="false" customHeight="true" outlineLevel="0" collapsed="false">
      <c r="A76" s="59" t="s">
        <v>288</v>
      </c>
      <c r="B76" s="59" t="s">
        <v>163</v>
      </c>
      <c r="C76" s="59" t="n">
        <v>5</v>
      </c>
      <c r="D76" s="59" t="n">
        <v>5</v>
      </c>
      <c r="E76" s="59" t="s">
        <v>168</v>
      </c>
      <c r="F76" s="59" t="n">
        <v>0.126</v>
      </c>
      <c r="G76" s="59" t="s">
        <v>151</v>
      </c>
      <c r="H76" s="59" t="s">
        <v>151</v>
      </c>
      <c r="I76" s="59" t="s">
        <v>151</v>
      </c>
      <c r="J76" s="59"/>
      <c r="K76" s="59" t="n">
        <f aca="false">F76*C76*IF(E76="OpenRouter",$F$3,$F$4)</f>
        <v>66.89466</v>
      </c>
      <c r="L76" s="59" t="n">
        <v>0</v>
      </c>
      <c r="M76" s="59" t="n">
        <f aca="false">ROUNDUP(K76*(C76/D76)/($B$4*(1-AH76)),0)</f>
        <v>270</v>
      </c>
      <c r="N76" s="59" t="n">
        <v>0</v>
      </c>
      <c r="O76" s="60" t="n">
        <f aca="false">MAX(L76,M76,N76)</f>
        <v>270</v>
      </c>
      <c r="P76" s="59" t="n">
        <f aca="false">ROUND(O76/C76,0)</f>
        <v>54</v>
      </c>
      <c r="Q76" s="61" t="n">
        <f aca="false">1-K76/(O76*$B$4)</f>
        <v>0.251737332797763</v>
      </c>
      <c r="R76" s="62"/>
      <c r="T76" s="70"/>
      <c r="U76" s="1" t="s">
        <v>187</v>
      </c>
      <c r="V76" s="64"/>
      <c r="X76" s="64"/>
      <c r="Y76" s="64"/>
      <c r="AA76" s="65" t="n">
        <f aca="false">O76</f>
        <v>270</v>
      </c>
      <c r="AB76" s="1" t="n">
        <f aca="false">C76</f>
        <v>5</v>
      </c>
      <c r="AC76" s="1" t="n">
        <f aca="false">IF(B76="шт","—",P76)</f>
        <v>54</v>
      </c>
      <c r="AD76" s="66" t="s">
        <v>168</v>
      </c>
      <c r="AE76" s="66" t="s">
        <v>151</v>
      </c>
      <c r="AF76" s="66" t="s">
        <v>188</v>
      </c>
      <c r="AG76" s="66" t="s">
        <v>189</v>
      </c>
      <c r="AH76" s="67" t="n">
        <v>0.25</v>
      </c>
      <c r="AP76" s="1" t="s">
        <v>156</v>
      </c>
    </row>
    <row r="77" customFormat="false" ht="15" hidden="false" customHeight="true" outlineLevel="0" collapsed="false">
      <c r="A77" s="59" t="s">
        <v>289</v>
      </c>
      <c r="B77" s="59" t="s">
        <v>163</v>
      </c>
      <c r="C77" s="59" t="n">
        <v>5</v>
      </c>
      <c r="D77" s="59" t="n">
        <v>5</v>
      </c>
      <c r="E77" s="59" t="s">
        <v>150</v>
      </c>
      <c r="F77" s="59" t="n">
        <v>0.08</v>
      </c>
      <c r="G77" s="59" t="s">
        <v>168</v>
      </c>
      <c r="H77" s="59" t="n">
        <v>0.1</v>
      </c>
      <c r="I77" s="59" t="s">
        <v>151</v>
      </c>
      <c r="J77" s="59"/>
      <c r="K77" s="59" t="n">
        <f aca="false">F77*C77*IF(E77="OpenRouter",$F$3,$F$4)</f>
        <v>40.2526</v>
      </c>
      <c r="L77" s="59" t="n">
        <v>0</v>
      </c>
      <c r="M77" s="59" t="n">
        <f aca="false">ROUNDUP(K77*(C77/D77)/($B$4*(1-AH77)),0)</f>
        <v>163</v>
      </c>
      <c r="N77" s="59" t="n">
        <v>0</v>
      </c>
      <c r="O77" s="85" t="n">
        <f aca="false">O25</f>
        <v>163</v>
      </c>
      <c r="P77" s="59" t="n">
        <f aca="false">ROUND(O77/C77,0)</f>
        <v>33</v>
      </c>
      <c r="Q77" s="61" t="n">
        <f aca="false">1-K77/(O77*$B$4)</f>
        <v>0.254182234182287</v>
      </c>
      <c r="R77" s="62"/>
      <c r="T77" s="70"/>
      <c r="U77" s="1" t="s">
        <v>290</v>
      </c>
      <c r="V77" s="64"/>
      <c r="X77" s="64"/>
      <c r="Y77" s="64"/>
      <c r="AA77" s="65" t="n">
        <f aca="false">O77</f>
        <v>163</v>
      </c>
      <c r="AB77" s="1" t="n">
        <f aca="false">C77</f>
        <v>5</v>
      </c>
      <c r="AC77" s="1" t="n">
        <f aca="false">IF(B77="шт","—",P77)</f>
        <v>33</v>
      </c>
      <c r="AD77" s="66" t="s">
        <v>153</v>
      </c>
      <c r="AE77" s="66" t="s">
        <v>168</v>
      </c>
      <c r="AF77" s="66" t="s">
        <v>291</v>
      </c>
      <c r="AG77" s="68" t="s">
        <v>292</v>
      </c>
      <c r="AH77" s="67" t="n">
        <v>0.25</v>
      </c>
      <c r="AP77" s="1" t="s">
        <v>156</v>
      </c>
      <c r="AQ77" s="1" t="s">
        <v>156</v>
      </c>
    </row>
    <row r="78" customFormat="false" ht="15" hidden="false" customHeight="true" outlineLevel="0" collapsed="false">
      <c r="A78" s="59" t="s">
        <v>293</v>
      </c>
      <c r="B78" s="59" t="s">
        <v>163</v>
      </c>
      <c r="C78" s="59" t="n">
        <v>5</v>
      </c>
      <c r="D78" s="59" t="n">
        <v>5</v>
      </c>
      <c r="E78" s="59" t="s">
        <v>150</v>
      </c>
      <c r="F78" s="59" t="n">
        <v>0.12</v>
      </c>
      <c r="G78" s="59" t="s">
        <v>168</v>
      </c>
      <c r="H78" s="59" t="n">
        <v>0.15</v>
      </c>
      <c r="I78" s="59" t="s">
        <v>151</v>
      </c>
      <c r="J78" s="59"/>
      <c r="K78" s="59" t="n">
        <f aca="false">F78*C78*IF(E78="OpenRouter",$F$3,$F$4)</f>
        <v>60.3789</v>
      </c>
      <c r="L78" s="59" t="n">
        <v>0</v>
      </c>
      <c r="M78" s="59" t="n">
        <f aca="false">ROUNDUP(K78*(C78/D78)/($B$4*(1-AH78)),0)</f>
        <v>244</v>
      </c>
      <c r="N78" s="59" t="n">
        <v>0</v>
      </c>
      <c r="O78" s="85" t="n">
        <f aca="false">O26</f>
        <v>244</v>
      </c>
      <c r="P78" s="59" t="n">
        <f aca="false">ROUND(O78/C78,0)</f>
        <v>49</v>
      </c>
      <c r="Q78" s="61" t="n">
        <f aca="false">1-K78/(O78*$B$4)</f>
        <v>0.252653919088398</v>
      </c>
      <c r="R78" s="62"/>
      <c r="T78" s="70"/>
      <c r="U78" s="1" t="s">
        <v>290</v>
      </c>
      <c r="V78" s="64"/>
      <c r="X78" s="64"/>
      <c r="Y78" s="64"/>
      <c r="AA78" s="65" t="n">
        <f aca="false">O78</f>
        <v>244</v>
      </c>
      <c r="AB78" s="1" t="n">
        <f aca="false">C78</f>
        <v>5</v>
      </c>
      <c r="AC78" s="1" t="n">
        <f aca="false">IF(B78="шт","—",P78)</f>
        <v>49</v>
      </c>
      <c r="AD78" s="66" t="s">
        <v>153</v>
      </c>
      <c r="AE78" s="66" t="s">
        <v>168</v>
      </c>
      <c r="AF78" s="66" t="s">
        <v>291</v>
      </c>
      <c r="AG78" s="68" t="s">
        <v>292</v>
      </c>
      <c r="AH78" s="67" t="n">
        <v>0.25</v>
      </c>
      <c r="AP78" s="1" t="s">
        <v>156</v>
      </c>
      <c r="AQ78" s="1" t="s">
        <v>156</v>
      </c>
    </row>
    <row r="79" customFormat="false" ht="15" hidden="false" customHeight="true" outlineLevel="0" collapsed="false">
      <c r="A79" s="59" t="s">
        <v>294</v>
      </c>
      <c r="B79" s="59" t="s">
        <v>220</v>
      </c>
      <c r="C79" s="59" t="n">
        <v>1</v>
      </c>
      <c r="D79" s="59" t="n">
        <v>1</v>
      </c>
      <c r="E79" s="59" t="s">
        <v>150</v>
      </c>
      <c r="F79" s="59" t="n">
        <v>0.025</v>
      </c>
      <c r="G79" s="59" t="s">
        <v>168</v>
      </c>
      <c r="H79" s="59" t="n">
        <v>0.0315</v>
      </c>
      <c r="I79" s="59" t="s">
        <v>151</v>
      </c>
      <c r="J79" s="59"/>
      <c r="K79" s="59" t="n">
        <f aca="false">F79*C79*IF(E79="OpenRouter",$F$3,$F$4)</f>
        <v>2.5157875</v>
      </c>
      <c r="L79" s="59" t="n">
        <v>0</v>
      </c>
      <c r="M79" s="59" t="n">
        <f aca="false">ROUNDUP(K79*(C79/D79)/($B$4*(1-AH79)),0)</f>
        <v>11</v>
      </c>
      <c r="N79" s="59" t="n">
        <v>0</v>
      </c>
      <c r="O79" s="82" t="n">
        <v>14</v>
      </c>
      <c r="P79" s="59" t="n">
        <f aca="false">ROUND(O79/C79,0)</f>
        <v>14</v>
      </c>
      <c r="Q79" s="61" t="n">
        <f aca="false">1-K79/(O79*$B$4)</f>
        <v>0.457284393623718</v>
      </c>
      <c r="R79" s="62"/>
      <c r="T79" s="70"/>
      <c r="U79" s="1" t="s">
        <v>295</v>
      </c>
      <c r="V79" s="64"/>
      <c r="X79" s="64"/>
      <c r="Y79" s="64"/>
      <c r="AA79" s="65" t="n">
        <f aca="false">O79</f>
        <v>14</v>
      </c>
      <c r="AB79" s="1" t="n">
        <f aca="false">C79</f>
        <v>1</v>
      </c>
      <c r="AC79" s="1" t="str">
        <f aca="false">IF(B79="шт","—",P79)</f>
        <v>—</v>
      </c>
      <c r="AD79" s="66" t="s">
        <v>153</v>
      </c>
      <c r="AE79" s="66" t="s">
        <v>168</v>
      </c>
      <c r="AF79" s="66" t="s">
        <v>296</v>
      </c>
      <c r="AG79" s="81" t="s">
        <v>297</v>
      </c>
      <c r="AH79" s="67" t="n">
        <v>0.25</v>
      </c>
      <c r="AO79" s="1" t="n">
        <v>1.049</v>
      </c>
      <c r="AP79" s="1" t="s">
        <v>156</v>
      </c>
      <c r="AQ79" s="1" t="s">
        <v>156</v>
      </c>
    </row>
    <row r="80" customFormat="false" ht="15" hidden="false" customHeight="true" outlineLevel="0" collapsed="false">
      <c r="A80" s="59" t="s">
        <v>298</v>
      </c>
      <c r="B80" s="59" t="s">
        <v>149</v>
      </c>
      <c r="C80" s="59" t="n">
        <v>8</v>
      </c>
      <c r="D80" s="59" t="n">
        <v>8</v>
      </c>
      <c r="E80" s="59" t="s">
        <v>150</v>
      </c>
      <c r="F80" s="59" t="n">
        <v>1.25</v>
      </c>
      <c r="G80" s="59" t="s">
        <v>151</v>
      </c>
      <c r="H80" s="59" t="s">
        <v>151</v>
      </c>
      <c r="I80" s="59" t="n">
        <v>119</v>
      </c>
      <c r="J80" s="59"/>
      <c r="K80" s="59" t="n">
        <f aca="false">K9</f>
        <v>125.789375</v>
      </c>
      <c r="L80" s="59" t="n">
        <v>0</v>
      </c>
      <c r="M80" s="59" t="n">
        <f aca="false">M9</f>
        <v>507</v>
      </c>
      <c r="N80" s="59" t="n">
        <f aca="false">N9</f>
        <v>0</v>
      </c>
      <c r="O80" s="60" t="n">
        <f aca="false">O9</f>
        <v>597</v>
      </c>
      <c r="P80" s="59" t="n">
        <f aca="false">P9</f>
        <v>75</v>
      </c>
      <c r="Q80" s="61" t="n">
        <f aca="false">Q9</f>
        <v>0.363650042774879</v>
      </c>
      <c r="R80" s="62"/>
      <c r="U80" s="63" t="s">
        <v>299</v>
      </c>
      <c r="V80" s="64"/>
      <c r="X80" s="64"/>
      <c r="Y80" s="64"/>
      <c r="AA80" s="65" t="n">
        <f aca="false">O80</f>
        <v>597</v>
      </c>
      <c r="AB80" s="1" t="n">
        <f aca="false">C80</f>
        <v>8</v>
      </c>
      <c r="AC80" s="1" t="n">
        <f aca="false">IF(B80="шт","—",P80)</f>
        <v>75</v>
      </c>
      <c r="AD80" s="66" t="s">
        <v>153</v>
      </c>
      <c r="AE80" s="66" t="s">
        <v>151</v>
      </c>
      <c r="AF80" s="66" t="s">
        <v>154</v>
      </c>
      <c r="AG80" s="66" t="s">
        <v>155</v>
      </c>
      <c r="AH80" s="67" t="n">
        <v>0.25</v>
      </c>
      <c r="AP80" s="1" t="s">
        <v>156</v>
      </c>
    </row>
    <row r="81" customFormat="false" ht="15" hidden="false" customHeight="true" outlineLevel="0" collapsed="false">
      <c r="A81" s="59" t="s">
        <v>300</v>
      </c>
      <c r="B81" s="59" t="s">
        <v>149</v>
      </c>
      <c r="C81" s="59" t="n">
        <v>8</v>
      </c>
      <c r="D81" s="59" t="n">
        <v>8</v>
      </c>
      <c r="E81" s="59" t="s">
        <v>150</v>
      </c>
      <c r="F81" s="59" t="n">
        <v>1.275</v>
      </c>
      <c r="G81" s="59" t="s">
        <v>151</v>
      </c>
      <c r="H81" s="59" t="s">
        <v>151</v>
      </c>
      <c r="I81" s="59" t="n">
        <v>119</v>
      </c>
      <c r="J81" s="59"/>
      <c r="K81" s="59" t="n">
        <f aca="false">K10</f>
        <v>128.3051625</v>
      </c>
      <c r="L81" s="59" t="n">
        <v>0</v>
      </c>
      <c r="M81" s="59" t="n">
        <f aca="false">M10</f>
        <v>517</v>
      </c>
      <c r="N81" s="59" t="n">
        <f aca="false">N10</f>
        <v>0</v>
      </c>
      <c r="O81" s="60" t="n">
        <f aca="false">O10</f>
        <v>597</v>
      </c>
      <c r="P81" s="59" t="n">
        <f aca="false">P10</f>
        <v>75</v>
      </c>
      <c r="Q81" s="61" t="n">
        <f aca="false">Q10</f>
        <v>0.350923043630376</v>
      </c>
      <c r="R81" s="62"/>
      <c r="U81" s="63" t="s">
        <v>301</v>
      </c>
      <c r="V81" s="64"/>
      <c r="X81" s="64"/>
      <c r="Y81" s="64"/>
      <c r="AA81" s="65" t="n">
        <f aca="false">O81</f>
        <v>597</v>
      </c>
      <c r="AB81" s="1" t="n">
        <f aca="false">C81</f>
        <v>8</v>
      </c>
      <c r="AC81" s="1" t="n">
        <f aca="false">IF(B81="шт","—",P81)</f>
        <v>75</v>
      </c>
      <c r="AD81" s="66" t="s">
        <v>153</v>
      </c>
      <c r="AE81" s="66" t="s">
        <v>151</v>
      </c>
      <c r="AF81" s="66" t="s">
        <v>154</v>
      </c>
      <c r="AG81" s="66" t="s">
        <v>155</v>
      </c>
      <c r="AH81" s="67" t="n">
        <v>0.25</v>
      </c>
      <c r="AP81" s="1" t="s">
        <v>156</v>
      </c>
    </row>
    <row r="82" customFormat="false" ht="15" hidden="false" customHeight="true" outlineLevel="0" collapsed="false">
      <c r="A82" s="59" t="s">
        <v>302</v>
      </c>
      <c r="B82" s="59" t="s">
        <v>149</v>
      </c>
      <c r="C82" s="59" t="n">
        <v>8</v>
      </c>
      <c r="D82" s="59" t="n">
        <v>8</v>
      </c>
      <c r="E82" s="59" t="s">
        <v>150</v>
      </c>
      <c r="F82" s="59" t="n">
        <v>0.3</v>
      </c>
      <c r="G82" s="59" t="s">
        <v>151</v>
      </c>
      <c r="H82" s="59" t="s">
        <v>151</v>
      </c>
      <c r="I82" s="59" t="n">
        <v>19</v>
      </c>
      <c r="J82" s="59"/>
      <c r="K82" s="59" t="n">
        <f aca="false">K11</f>
        <v>30.18945</v>
      </c>
      <c r="L82" s="59" t="n">
        <v>0</v>
      </c>
      <c r="M82" s="59" t="n">
        <f aca="false">M11</f>
        <v>122</v>
      </c>
      <c r="N82" s="59" t="n">
        <f aca="false">N11</f>
        <v>0</v>
      </c>
      <c r="O82" s="60" t="n">
        <f aca="false">O11</f>
        <v>122</v>
      </c>
      <c r="P82" s="59" t="n">
        <f aca="false">P11</f>
        <v>15</v>
      </c>
      <c r="Q82" s="61" t="n">
        <f aca="false">Q11</f>
        <v>0.252653919088398</v>
      </c>
      <c r="R82" s="62"/>
      <c r="U82" s="63" t="s">
        <v>303</v>
      </c>
      <c r="V82" s="64"/>
      <c r="X82" s="64"/>
      <c r="Y82" s="64"/>
      <c r="AA82" s="65" t="n">
        <f aca="false">O82</f>
        <v>122</v>
      </c>
      <c r="AB82" s="1" t="n">
        <f aca="false">C82</f>
        <v>8</v>
      </c>
      <c r="AC82" s="1" t="n">
        <f aca="false">IF(B82="шт","—",P82)</f>
        <v>15</v>
      </c>
      <c r="AD82" s="66" t="s">
        <v>153</v>
      </c>
      <c r="AE82" s="66" t="s">
        <v>151</v>
      </c>
      <c r="AF82" s="66" t="s">
        <v>154</v>
      </c>
      <c r="AG82" s="66" t="s">
        <v>155</v>
      </c>
      <c r="AH82" s="67" t="n">
        <v>0.25</v>
      </c>
      <c r="AP82" s="1" t="s">
        <v>156</v>
      </c>
    </row>
    <row r="83" customFormat="false" ht="15" hidden="false" customHeight="true" outlineLevel="0" collapsed="false">
      <c r="A83" s="59" t="s">
        <v>304</v>
      </c>
      <c r="B83" s="59" t="s">
        <v>149</v>
      </c>
      <c r="C83" s="59" t="n">
        <v>8</v>
      </c>
      <c r="D83" s="59" t="n">
        <v>8</v>
      </c>
      <c r="E83" s="59" t="s">
        <v>150</v>
      </c>
      <c r="F83" s="59" t="n">
        <v>0.325</v>
      </c>
      <c r="G83" s="59" t="s">
        <v>151</v>
      </c>
      <c r="H83" s="59" t="s">
        <v>151</v>
      </c>
      <c r="I83" s="59" t="n">
        <v>19</v>
      </c>
      <c r="J83" s="59"/>
      <c r="K83" s="59" t="n">
        <f aca="false">K12</f>
        <v>32.7052375</v>
      </c>
      <c r="L83" s="59" t="n">
        <v>0</v>
      </c>
      <c r="M83" s="59" t="n">
        <f aca="false">M12</f>
        <v>132</v>
      </c>
      <c r="N83" s="59" t="n">
        <f aca="false">N12</f>
        <v>0</v>
      </c>
      <c r="O83" s="60" t="n">
        <f aca="false">O12</f>
        <v>132</v>
      </c>
      <c r="P83" s="59" t="n">
        <f aca="false">P12</f>
        <v>17</v>
      </c>
      <c r="Q83" s="61" t="n">
        <f aca="false">Q12</f>
        <v>0.251710300299369</v>
      </c>
      <c r="R83" s="62"/>
      <c r="U83" s="63" t="s">
        <v>305</v>
      </c>
      <c r="V83" s="64"/>
      <c r="X83" s="64"/>
      <c r="Y83" s="64"/>
      <c r="AA83" s="65" t="n">
        <f aca="false">O83</f>
        <v>132</v>
      </c>
      <c r="AB83" s="1" t="n">
        <f aca="false">C83</f>
        <v>8</v>
      </c>
      <c r="AC83" s="1" t="n">
        <f aca="false">IF(B83="шт","—",P83)</f>
        <v>17</v>
      </c>
      <c r="AD83" s="66" t="s">
        <v>153</v>
      </c>
      <c r="AE83" s="66" t="s">
        <v>151</v>
      </c>
      <c r="AF83" s="66" t="s">
        <v>154</v>
      </c>
      <c r="AG83" s="66" t="s">
        <v>155</v>
      </c>
      <c r="AH83" s="67" t="n">
        <v>0.25</v>
      </c>
      <c r="AP83" s="1" t="s">
        <v>156</v>
      </c>
    </row>
    <row r="84" customFormat="false" ht="15" hidden="false" customHeight="true" outlineLevel="0" collapsed="false">
      <c r="A84" s="59" t="s">
        <v>306</v>
      </c>
      <c r="B84" s="59" t="s">
        <v>149</v>
      </c>
      <c r="C84" s="59" t="n">
        <v>8</v>
      </c>
      <c r="D84" s="59" t="n">
        <v>8</v>
      </c>
      <c r="E84" s="59" t="s">
        <v>150</v>
      </c>
      <c r="F84" s="59" t="n">
        <v>0.15</v>
      </c>
      <c r="G84" s="59" t="s">
        <v>151</v>
      </c>
      <c r="H84" s="59" t="s">
        <v>151</v>
      </c>
      <c r="I84" s="59" t="n">
        <v>13</v>
      </c>
      <c r="J84" s="59"/>
      <c r="K84" s="59" t="n">
        <f aca="false">K13</f>
        <v>15.094725</v>
      </c>
      <c r="L84" s="59" t="n">
        <v>0</v>
      </c>
      <c r="M84" s="59" t="n">
        <f aca="false">M13</f>
        <v>61</v>
      </c>
      <c r="N84" s="59" t="n">
        <f aca="false">N13</f>
        <v>0</v>
      </c>
      <c r="O84" s="60" t="n">
        <f aca="false">O13</f>
        <v>66</v>
      </c>
      <c r="P84" s="59" t="n">
        <f aca="false">P13</f>
        <v>8</v>
      </c>
      <c r="Q84" s="61" t="n">
        <f aca="false">Q13</f>
        <v>0.309271046430186</v>
      </c>
      <c r="R84" s="62"/>
      <c r="U84" s="63" t="s">
        <v>307</v>
      </c>
      <c r="V84" s="64"/>
      <c r="X84" s="64"/>
      <c r="Y84" s="64"/>
      <c r="AA84" s="65" t="n">
        <f aca="false">O84</f>
        <v>66</v>
      </c>
      <c r="AB84" s="1" t="n">
        <f aca="false">C84</f>
        <v>8</v>
      </c>
      <c r="AC84" s="1" t="n">
        <f aca="false">IF(B84="шт","—",P84)</f>
        <v>8</v>
      </c>
      <c r="AD84" s="66" t="s">
        <v>153</v>
      </c>
      <c r="AE84" s="66" t="s">
        <v>151</v>
      </c>
      <c r="AF84" s="66" t="s">
        <v>154</v>
      </c>
      <c r="AG84" s="66" t="s">
        <v>155</v>
      </c>
      <c r="AH84" s="67" t="n">
        <v>0.25</v>
      </c>
      <c r="AP84" s="1" t="s">
        <v>156</v>
      </c>
    </row>
    <row r="85" customFormat="false" ht="15" hidden="false" customHeight="true" outlineLevel="0" collapsed="false">
      <c r="A85" s="59" t="s">
        <v>308</v>
      </c>
      <c r="B85" s="59" t="s">
        <v>149</v>
      </c>
      <c r="C85" s="59" t="n">
        <v>8</v>
      </c>
      <c r="D85" s="59" t="n">
        <v>8</v>
      </c>
      <c r="E85" s="59" t="s">
        <v>150</v>
      </c>
      <c r="F85" s="59" t="n">
        <v>0.175</v>
      </c>
      <c r="G85" s="59" t="s">
        <v>151</v>
      </c>
      <c r="H85" s="59" t="s">
        <v>151</v>
      </c>
      <c r="I85" s="59" t="n">
        <v>13</v>
      </c>
      <c r="J85" s="59"/>
      <c r="K85" s="59" t="n">
        <f aca="false">K14</f>
        <v>17.6105125</v>
      </c>
      <c r="L85" s="59" t="n">
        <v>0</v>
      </c>
      <c r="M85" s="59" t="n">
        <f aca="false">M14</f>
        <v>71</v>
      </c>
      <c r="N85" s="59" t="n">
        <f aca="false">N14</f>
        <v>0</v>
      </c>
      <c r="O85" s="60" t="n">
        <f aca="false">O14</f>
        <v>71</v>
      </c>
      <c r="P85" s="59" t="n">
        <f aca="false">P14</f>
        <v>9</v>
      </c>
      <c r="Q85" s="61" t="n">
        <f aca="false">Q14</f>
        <v>0.250899585565132</v>
      </c>
      <c r="R85" s="62"/>
      <c r="U85" s="63" t="s">
        <v>309</v>
      </c>
      <c r="V85" s="64"/>
      <c r="X85" s="64"/>
      <c r="Y85" s="64"/>
      <c r="AA85" s="65" t="n">
        <f aca="false">O85</f>
        <v>71</v>
      </c>
      <c r="AB85" s="1" t="n">
        <f aca="false">C85</f>
        <v>8</v>
      </c>
      <c r="AC85" s="1" t="n">
        <f aca="false">IF(B85="шт","—",P85)</f>
        <v>9</v>
      </c>
      <c r="AD85" s="66" t="s">
        <v>153</v>
      </c>
      <c r="AE85" s="66" t="s">
        <v>151</v>
      </c>
      <c r="AF85" s="66" t="s">
        <v>154</v>
      </c>
      <c r="AG85" s="66" t="s">
        <v>155</v>
      </c>
      <c r="AH85" s="67" t="n">
        <v>0.25</v>
      </c>
      <c r="AP85" s="1" t="s">
        <v>156</v>
      </c>
    </row>
    <row r="86" customFormat="false" ht="15" hidden="false" customHeight="true" outlineLevel="0" collapsed="false">
      <c r="A86" s="59" t="s">
        <v>310</v>
      </c>
      <c r="B86" s="59" t="s">
        <v>202</v>
      </c>
      <c r="C86" s="59" t="n">
        <v>1</v>
      </c>
      <c r="D86" s="59" t="n">
        <v>1</v>
      </c>
      <c r="E86" s="59" t="s">
        <v>150</v>
      </c>
      <c r="F86" s="59" t="n">
        <v>0.0325</v>
      </c>
      <c r="G86" s="59" t="s">
        <v>168</v>
      </c>
      <c r="H86" s="59" t="n">
        <v>0.04</v>
      </c>
      <c r="I86" s="59" t="n">
        <v>2</v>
      </c>
      <c r="J86" s="59"/>
      <c r="K86" s="59" t="n">
        <f aca="false">K39</f>
        <v>3.27052375</v>
      </c>
      <c r="L86" s="59" t="n">
        <v>0</v>
      </c>
      <c r="M86" s="59" t="n">
        <f aca="false">M39</f>
        <v>14</v>
      </c>
      <c r="N86" s="59" t="n">
        <f aca="false">N39</f>
        <v>13</v>
      </c>
      <c r="O86" s="60" t="n">
        <f aca="false">O39</f>
        <v>14</v>
      </c>
      <c r="P86" s="59" t="n">
        <f aca="false">P39</f>
        <v>14</v>
      </c>
      <c r="Q86" s="61" t="n">
        <f aca="false">Q39</f>
        <v>0.294469711710833</v>
      </c>
      <c r="R86" s="62"/>
      <c r="U86" s="63" t="s">
        <v>311</v>
      </c>
      <c r="Z86" s="1"/>
      <c r="AA86" s="65" t="n">
        <f aca="false">O86</f>
        <v>14</v>
      </c>
      <c r="AB86" s="1" t="n">
        <f aca="false">C86</f>
        <v>1</v>
      </c>
      <c r="AC86" s="1" t="n">
        <f aca="false">IF(B86="шт","—",P86)</f>
        <v>14</v>
      </c>
      <c r="AD86" s="66" t="s">
        <v>153</v>
      </c>
      <c r="AE86" s="66" t="s">
        <v>168</v>
      </c>
      <c r="AF86" s="66" t="s">
        <v>224</v>
      </c>
      <c r="AG86" s="66" t="s">
        <v>170</v>
      </c>
      <c r="AH86" s="67" t="n">
        <v>0.25</v>
      </c>
      <c r="AP86" s="1" t="s">
        <v>156</v>
      </c>
      <c r="AQ86" s="1" t="s">
        <v>156</v>
      </c>
    </row>
    <row r="87" customFormat="false" ht="15" hidden="false" customHeight="true" outlineLevel="0" collapsed="false">
      <c r="A87" s="59" t="s">
        <v>312</v>
      </c>
      <c r="B87" s="59" t="s">
        <v>220</v>
      </c>
      <c r="C87" s="59" t="n">
        <v>1</v>
      </c>
      <c r="D87" s="59" t="n">
        <v>1</v>
      </c>
      <c r="E87" s="59" t="s">
        <v>150</v>
      </c>
      <c r="F87" s="59" t="n">
        <v>0.0325</v>
      </c>
      <c r="G87" s="59" t="s">
        <v>168</v>
      </c>
      <c r="H87" s="59" t="n">
        <v>0.04</v>
      </c>
      <c r="I87" s="59" t="s">
        <v>151</v>
      </c>
      <c r="J87" s="59"/>
      <c r="K87" s="59" t="n">
        <f aca="false">K49</f>
        <v>3.27052375</v>
      </c>
      <c r="L87" s="59" t="n">
        <v>0</v>
      </c>
      <c r="M87" s="59" t="n">
        <f aca="false">M49</f>
        <v>14</v>
      </c>
      <c r="N87" s="59" t="n">
        <f aca="false">N49</f>
        <v>13</v>
      </c>
      <c r="O87" s="60" t="n">
        <f aca="false">O49</f>
        <v>17</v>
      </c>
      <c r="P87" s="59" t="n">
        <f aca="false">P49</f>
        <v>17</v>
      </c>
      <c r="Q87" s="61" t="n">
        <f aca="false">Q49</f>
        <v>0.418975056703039</v>
      </c>
      <c r="R87" s="62"/>
      <c r="U87" s="63" t="s">
        <v>313</v>
      </c>
      <c r="Z87" s="1"/>
      <c r="AA87" s="65" t="n">
        <f aca="false">O87</f>
        <v>17</v>
      </c>
      <c r="AB87" s="1" t="n">
        <f aca="false">C87</f>
        <v>1</v>
      </c>
      <c r="AC87" s="1" t="str">
        <f aca="false">IF(B87="шт","—",P87)</f>
        <v>—</v>
      </c>
      <c r="AD87" s="66" t="s">
        <v>153</v>
      </c>
      <c r="AE87" s="66" t="s">
        <v>168</v>
      </c>
      <c r="AF87" s="66" t="s">
        <v>224</v>
      </c>
      <c r="AG87" s="66" t="s">
        <v>170</v>
      </c>
      <c r="AH87" s="67" t="n">
        <v>0.25</v>
      </c>
      <c r="AP87" s="1" t="s">
        <v>156</v>
      </c>
      <c r="AQ87" s="1" t="s">
        <v>156</v>
      </c>
    </row>
    <row r="88" customFormat="false" ht="15" hidden="false" customHeight="true" outlineLevel="0" collapsed="false">
      <c r="A88" s="59" t="s">
        <v>314</v>
      </c>
      <c r="B88" s="59" t="s">
        <v>220</v>
      </c>
      <c r="C88" s="59" t="n">
        <v>1</v>
      </c>
      <c r="D88" s="59" t="n">
        <v>1</v>
      </c>
      <c r="E88" s="59" t="s">
        <v>150</v>
      </c>
      <c r="F88" s="59" t="n">
        <v>0.0325</v>
      </c>
      <c r="G88" s="59" t="s">
        <v>168</v>
      </c>
      <c r="H88" s="59" t="n">
        <v>0.04</v>
      </c>
      <c r="I88" s="59" t="s">
        <v>151</v>
      </c>
      <c r="J88" s="59"/>
      <c r="K88" s="59" t="n">
        <f aca="false">K50</f>
        <v>3.27052375</v>
      </c>
      <c r="L88" s="59" t="n">
        <v>0</v>
      </c>
      <c r="M88" s="59" t="n">
        <f aca="false">M50</f>
        <v>14</v>
      </c>
      <c r="N88" s="59" t="n">
        <f aca="false">N50</f>
        <v>13</v>
      </c>
      <c r="O88" s="60" t="n">
        <f aca="false">O50</f>
        <v>20</v>
      </c>
      <c r="P88" s="59" t="n">
        <f aca="false">P50</f>
        <v>20</v>
      </c>
      <c r="Q88" s="61" t="n">
        <f aca="false">Q50</f>
        <v>0.506128798197583</v>
      </c>
      <c r="R88" s="62"/>
      <c r="U88" s="63" t="s">
        <v>315</v>
      </c>
      <c r="Z88" s="1"/>
      <c r="AA88" s="65" t="n">
        <f aca="false">O88</f>
        <v>20</v>
      </c>
      <c r="AB88" s="1" t="n">
        <f aca="false">C88</f>
        <v>1</v>
      </c>
      <c r="AC88" s="1" t="str">
        <f aca="false">IF(B88="шт","—",P88)</f>
        <v>—</v>
      </c>
      <c r="AD88" s="66" t="s">
        <v>153</v>
      </c>
      <c r="AE88" s="66" t="s">
        <v>168</v>
      </c>
      <c r="AF88" s="66" t="s">
        <v>224</v>
      </c>
      <c r="AG88" s="66" t="s">
        <v>170</v>
      </c>
      <c r="AH88" s="67" t="n">
        <v>0.25</v>
      </c>
      <c r="AP88" s="1" t="s">
        <v>156</v>
      </c>
      <c r="AQ88" s="1" t="s">
        <v>156</v>
      </c>
    </row>
    <row r="89" customFormat="false" ht="15" hidden="false" customHeight="true" outlineLevel="0" collapsed="false">
      <c r="A89" s="59" t="s">
        <v>316</v>
      </c>
      <c r="B89" s="59" t="s">
        <v>202</v>
      </c>
      <c r="C89" s="59" t="n">
        <v>1</v>
      </c>
      <c r="D89" s="59" t="n">
        <v>1</v>
      </c>
      <c r="E89" s="59" t="s">
        <v>150</v>
      </c>
      <c r="F89" s="59" t="n">
        <v>0.03</v>
      </c>
      <c r="G89" s="59" t="inlineStr">
        <is>
          <t xml:space="preserve">direct</t>
        </is>
      </c>
      <c r="H89" s="59">
        <v>0.03</v>
      </c>
      <c r="I89" s="59" t="n">
        <v>2</v>
      </c>
      <c r="J89" s="59"/>
      <c r="K89" s="59" t="n">
        <f aca="false">K36</f>
        <v>3.018945</v>
      </c>
      <c r="L89" s="59" t="n">
        <v>0</v>
      </c>
      <c r="M89" s="59" t="n">
        <f aca="false">M36</f>
        <v>13</v>
      </c>
      <c r="N89" s="59" t="n">
        <v>0</v>
      </c>
      <c r="O89" s="60" t="n">
        <f aca="false">O36</f>
        <v>13</v>
      </c>
      <c r="P89" s="59" t="n">
        <f aca="false">P36</f>
        <v>13</v>
      </c>
      <c r="Q89" s="61" t="n">
        <f aca="false">Q36</f>
        <v>0.298644447144497</v>
      </c>
      <c r="R89" s="62"/>
      <c r="U89" s="63" t="inlineStr">
        <is>
          <t xml:space="preserve">Kie fallback gpt-image-2-image-to-image $0.03/low; owner list 2026-07-25. Costed reserve; quality mapping remains unarmed.</t>
        </is>
      </c>
      <c r="AA89" s="65" t="n">
        <f aca="false">O89</f>
        <v>13</v>
      </c>
      <c r="AB89" s="1" t="n">
        <f aca="false">C89</f>
        <v>1</v>
      </c>
      <c r="AC89" s="1" t="n">
        <f aca="false">IF(B89="шт","—",P89)</f>
        <v>13</v>
      </c>
      <c r="AD89" s="66" t="s">
        <v>204</v>
      </c>
      <c r="AE89" s="66" t="inlineStr">
        <is>
          <t xml:space="preserve">Kie</t>
        </is>
      </c>
      <c r="AF89" s="66" t="s">
        <v>217</v>
      </c>
      <c r="AG89" s="68" t="s">
        <v>218</v>
      </c>
      <c r="AH89" s="67" t="n">
        <v>0.25</v>
      </c>
      <c r="AP89" s="1" t="s">
        <v>156</v>
      </c>
    </row>
    <row r="90" customFormat="false" ht="15" hidden="false" customHeight="true" outlineLevel="0" collapsed="false">
      <c r="A90" s="59" t="s">
        <v>318</v>
      </c>
      <c r="B90" s="59" t="s">
        <v>220</v>
      </c>
      <c r="C90" s="59" t="n">
        <v>1</v>
      </c>
      <c r="D90" s="59" t="n">
        <v>1</v>
      </c>
      <c r="E90" s="59" t="s">
        <v>150</v>
      </c>
      <c r="F90" s="59" t="n">
        <v>0.03</v>
      </c>
      <c r="G90" s="59" t="inlineStr">
        <is>
          <t xml:space="preserve">direct</t>
        </is>
      </c>
      <c r="H90" s="59">
        <v>0.05</v>
      </c>
      <c r="I90" s="59" t="s">
        <v>151</v>
      </c>
      <c r="J90" s="59"/>
      <c r="K90" s="59" t="n">
        <f aca="false">K37</f>
        <v>3.018945</v>
      </c>
      <c r="L90" s="59" t="n">
        <v>0</v>
      </c>
      <c r="M90" s="59" t="n">
        <f aca="false">M37</f>
        <v>13</v>
      </c>
      <c r="N90" s="59" t="n">
        <v>0</v>
      </c>
      <c r="O90" s="60" t="n">
        <f aca="false">O37</f>
        <v>21</v>
      </c>
      <c r="P90" s="59" t="n">
        <f aca="false">P37</f>
        <v>21</v>
      </c>
      <c r="Q90" s="61" t="n">
        <f aca="false">Q37</f>
        <v>0.565827514898974</v>
      </c>
      <c r="R90" s="62"/>
      <c r="U90" s="63" t="inlineStr">
        <is>
          <t xml:space="preserve">Kie fallback gpt-image-2-image-to-image $0.05/medium; owner list 2026-07-25. Costed reserve; quality mapping remains unarmed.</t>
        </is>
      </c>
      <c r="AA90" s="65" t="n">
        <f aca="false">O90</f>
        <v>21</v>
      </c>
      <c r="AB90" s="1" t="n">
        <f aca="false">C90</f>
        <v>1</v>
      </c>
      <c r="AC90" s="1" t="str">
        <f aca="false">IF(B90="шт","—",P90)</f>
        <v>—</v>
      </c>
      <c r="AD90" s="66" t="s">
        <v>204</v>
      </c>
      <c r="AE90" s="66" t="inlineStr">
        <is>
          <t xml:space="preserve">Kie</t>
        </is>
      </c>
      <c r="AF90" s="66" t="s">
        <v>217</v>
      </c>
      <c r="AG90" s="68" t="s">
        <v>218</v>
      </c>
      <c r="AH90" s="67" t="n">
        <v>0.25</v>
      </c>
      <c r="AP90" s="1" t="s">
        <v>156</v>
      </c>
    </row>
    <row r="91" customFormat="false" ht="15" hidden="false" customHeight="true" outlineLevel="0" collapsed="false">
      <c r="A91" s="59" t="s">
        <v>319</v>
      </c>
      <c r="B91" s="59" t="s">
        <v>220</v>
      </c>
      <c r="C91" s="59" t="n">
        <v>1</v>
      </c>
      <c r="D91" s="59" t="n">
        <v>1</v>
      </c>
      <c r="E91" s="59" t="s">
        <v>150</v>
      </c>
      <c r="F91" s="59" t="n">
        <v>0.03</v>
      </c>
      <c r="G91" s="59" t="inlineStr">
        <is>
          <t xml:space="preserve">direct</t>
        </is>
      </c>
      <c r="H91" s="59">
        <v>0.08</v>
      </c>
      <c r="I91" s="59" t="s">
        <v>151</v>
      </c>
      <c r="J91" s="59"/>
      <c r="K91" s="59" t="n">
        <f aca="false">K38</f>
        <v>3.018945</v>
      </c>
      <c r="L91" s="59" t="n">
        <v>0</v>
      </c>
      <c r="M91" s="59" t="n">
        <f aca="false">M38</f>
        <v>13</v>
      </c>
      <c r="N91" s="59" t="n">
        <v>0</v>
      </c>
      <c r="O91" s="60" t="n">
        <f aca="false">O38</f>
        <v>33</v>
      </c>
      <c r="P91" s="59" t="n">
        <f aca="false">P38</f>
        <v>33</v>
      </c>
      <c r="Q91" s="61" t="n">
        <f aca="false">Q38</f>
        <v>0.723708418572075</v>
      </c>
      <c r="R91" s="62"/>
      <c r="U91" s="63" t="inlineStr">
        <is>
          <t xml:space="preserve">Kie fallback gpt-image-2-image-to-image $0.08/high; owner list 2026-07-25. Costed reserve; quality mapping remains unarmed.</t>
        </is>
      </c>
      <c r="AA91" s="65" t="n">
        <f aca="false">O91</f>
        <v>33</v>
      </c>
      <c r="AB91" s="1" t="n">
        <f aca="false">C91</f>
        <v>1</v>
      </c>
      <c r="AC91" s="1" t="str">
        <f aca="false">IF(B91="шт","—",P91)</f>
        <v>—</v>
      </c>
      <c r="AD91" s="66" t="s">
        <v>204</v>
      </c>
      <c r="AE91" s="66" t="inlineStr">
        <is>
          <t xml:space="preserve">Kie</t>
        </is>
      </c>
      <c r="AF91" s="66" t="s">
        <v>217</v>
      </c>
      <c r="AG91" s="68" t="s">
        <v>218</v>
      </c>
      <c r="AH91" s="67" t="n">
        <v>0.25</v>
      </c>
      <c r="AP91" s="1" t="s">
        <v>156</v>
      </c>
    </row>
    <row r="92" customFormat="false" ht="15" hidden="false" customHeight="true" outlineLevel="0" collapsed="false">
      <c r="A92" s="59" t="s">
        <v>320</v>
      </c>
      <c r="B92" s="59" t="s">
        <v>202</v>
      </c>
      <c r="C92" s="59" t="n">
        <v>1</v>
      </c>
      <c r="D92" s="59" t="n">
        <v>1</v>
      </c>
      <c r="E92" s="59" t="s">
        <v>150</v>
      </c>
      <c r="F92" s="59" t="n">
        <v>0.02</v>
      </c>
      <c r="G92" s="59" t="inlineStr">
        <is>
          <t xml:space="preserve">direct</t>
        </is>
      </c>
      <c r="H92" s="59">
        <v>0.02</v>
      </c>
      <c r="I92" s="59" t="n">
        <v>1.5</v>
      </c>
      <c r="J92" s="59"/>
      <c r="K92" s="59" t="n">
        <f aca="false">K31</f>
        <v>2.01263</v>
      </c>
      <c r="L92" s="59" t="n">
        <v>0</v>
      </c>
      <c r="M92" s="59" t="n">
        <f aca="false">M31</f>
        <v>9</v>
      </c>
      <c r="N92" s="59" t="n">
        <v>0</v>
      </c>
      <c r="O92" s="60" t="n">
        <f aca="false">O31</f>
        <v>9</v>
      </c>
      <c r="P92" s="59" t="n">
        <f aca="false">P31</f>
        <v>9</v>
      </c>
      <c r="Q92" s="61" t="n">
        <f aca="false">Q31</f>
        <v>0.324620578731738</v>
      </c>
      <c r="R92" s="62"/>
      <c r="U92" s="63" t="inlineStr">
        <is>
          <t xml:space="preserve">Kie fallback google/nano-banana-edit $0.02/edit; owner list 2026-07-25; i2i route connected.</t>
        </is>
      </c>
      <c r="AA92" s="65" t="n">
        <f aca="false">O92</f>
        <v>9</v>
      </c>
      <c r="AB92" s="1" t="n">
        <f aca="false">C92</f>
        <v>1</v>
      </c>
      <c r="AC92" s="1" t="n">
        <f aca="false">IF(B92="шт","—",P92)</f>
        <v>9</v>
      </c>
      <c r="AD92" s="66" t="s">
        <v>204</v>
      </c>
      <c r="AE92" s="66" t="inlineStr">
        <is>
          <t xml:space="preserve">Kie</t>
        </is>
      </c>
      <c r="AF92" s="66" t="s">
        <v>205</v>
      </c>
      <c r="AG92" s="81" t="s">
        <v>206</v>
      </c>
      <c r="AH92" s="67" t="n">
        <v>0.25</v>
      </c>
      <c r="AP92" s="1" t="s">
        <v>156</v>
      </c>
      <c r="AQ92" s="59" t="inlineStr">
        <is>
          <t xml:space="preserve">да</t>
        </is>
      </c>
    </row>
    <row r="93" customFormat="false" ht="15" hidden="false" customHeight="true" outlineLevel="0" collapsed="false">
      <c r="A93" s="59" t="s">
        <v>321</v>
      </c>
      <c r="B93" s="59" t="s">
        <v>202</v>
      </c>
      <c r="C93" s="59" t="n">
        <v>1</v>
      </c>
      <c r="D93" s="59" t="n">
        <v>1</v>
      </c>
      <c r="E93" s="59" t="s">
        <v>150</v>
      </c>
      <c r="F93" s="59" t="n">
        <v>0.04</v>
      </c>
      <c r="G93" s="59" t="s">
        <v>150</v>
      </c>
      <c r="H93" s="59" t="n">
        <v>0.055</v>
      </c>
      <c r="I93" s="59" t="n">
        <v>3</v>
      </c>
      <c r="J93" s="59"/>
      <c r="K93" s="59" t="n">
        <f aca="false">K32</f>
        <v>4.02526</v>
      </c>
      <c r="L93" s="59" t="n">
        <v>0</v>
      </c>
      <c r="M93" s="59" t="n">
        <f aca="false">M32</f>
        <v>17</v>
      </c>
      <c r="N93" s="59" t="n">
        <f aca="false">N32</f>
        <v>17</v>
      </c>
      <c r="O93" s="60" t="n">
        <f aca="false">O32</f>
        <v>17</v>
      </c>
      <c r="P93" s="59" t="n">
        <f aca="false">P32</f>
        <v>17</v>
      </c>
      <c r="Q93" s="61" t="n">
        <f aca="false">Q32</f>
        <v>0.284892377480664</v>
      </c>
      <c r="R93" s="62"/>
      <c r="U93" s="63" t="s">
        <v>322</v>
      </c>
      <c r="Z93" s="1"/>
      <c r="AA93" s="65" t="n">
        <f aca="false">O93</f>
        <v>17</v>
      </c>
      <c r="AB93" s="1" t="n">
        <f aca="false">C93</f>
        <v>1</v>
      </c>
      <c r="AC93" s="1" t="n">
        <f aca="false">IF(B93="шт","—",P93)</f>
        <v>17</v>
      </c>
      <c r="AD93" s="66" t="s">
        <v>153</v>
      </c>
      <c r="AE93" s="66" t="s">
        <v>204</v>
      </c>
      <c r="AF93" s="66" t="s">
        <v>209</v>
      </c>
      <c r="AG93" s="66" t="s">
        <v>170</v>
      </c>
      <c r="AH93" s="67" t="n">
        <v>0.25</v>
      </c>
      <c r="AP93" s="1" t="s">
        <v>156</v>
      </c>
      <c r="AQ93" s="1" t="s">
        <v>156</v>
      </c>
    </row>
    <row r="94" customFormat="false" ht="15" hidden="false" customHeight="true" outlineLevel="0" collapsed="false">
      <c r="A94" s="59" t="s">
        <v>323</v>
      </c>
      <c r="B94" s="59" t="s">
        <v>202</v>
      </c>
      <c r="C94" s="59" t="n">
        <v>1</v>
      </c>
      <c r="D94" s="59" t="n">
        <v>1</v>
      </c>
      <c r="E94" s="59" t="s">
        <v>150</v>
      </c>
      <c r="F94" s="59" t="n">
        <v>0.02</v>
      </c>
      <c r="G94" s="59" t="s">
        <v>150</v>
      </c>
      <c r="H94" s="59" t="n">
        <v>0.025</v>
      </c>
      <c r="I94" s="59" t="n">
        <v>1.3</v>
      </c>
      <c r="J94" s="59"/>
      <c r="K94" s="59" t="n">
        <f aca="false">K33</f>
        <v>2.01263</v>
      </c>
      <c r="L94" s="59" t="n">
        <v>0</v>
      </c>
      <c r="M94" s="59" t="n">
        <f aca="false">M33</f>
        <v>9</v>
      </c>
      <c r="N94" s="59" t="n">
        <f aca="false">N33</f>
        <v>8</v>
      </c>
      <c r="O94" s="60" t="n">
        <f aca="false">O33</f>
        <v>9</v>
      </c>
      <c r="P94" s="59" t="n">
        <f aca="false">P33</f>
        <v>9</v>
      </c>
      <c r="Q94" s="61" t="n">
        <f aca="false">Q33</f>
        <v>0.324620578731738</v>
      </c>
      <c r="R94" s="62"/>
      <c r="U94" s="63" t="s">
        <v>324</v>
      </c>
      <c r="AA94" s="65" t="n">
        <f aca="false">O94</f>
        <v>9</v>
      </c>
      <c r="AB94" s="1" t="n">
        <f aca="false">C94</f>
        <v>1</v>
      </c>
      <c r="AC94" s="1" t="n">
        <f aca="false">IF(B94="шт","—",P94)</f>
        <v>9</v>
      </c>
      <c r="AD94" s="66" t="s">
        <v>153</v>
      </c>
      <c r="AE94" s="66" t="s">
        <v>204</v>
      </c>
      <c r="AF94" s="66" t="s">
        <v>210</v>
      </c>
      <c r="AG94" s="66" t="s">
        <v>170</v>
      </c>
      <c r="AH94" s="67" t="n">
        <v>0.25</v>
      </c>
      <c r="AP94" s="1" t="s">
        <v>156</v>
      </c>
      <c r="AQ94" s="1" t="s">
        <v>156</v>
      </c>
    </row>
    <row r="95" customFormat="false" ht="15" hidden="false" customHeight="true" outlineLevel="0" collapsed="false">
      <c r="A95" s="59" t="s">
        <v>325</v>
      </c>
      <c r="B95" s="59" t="s">
        <v>202</v>
      </c>
      <c r="C95" s="59" t="n">
        <v>1</v>
      </c>
      <c r="D95" s="59" t="n">
        <v>1</v>
      </c>
      <c r="E95" s="59" t="s">
        <v>150</v>
      </c>
      <c r="F95" s="59" t="n">
        <v>0.09</v>
      </c>
      <c r="G95" s="59" t="s">
        <v>151</v>
      </c>
      <c r="H95" s="59" t="s">
        <v>151</v>
      </c>
      <c r="I95" s="59" t="n">
        <v>2</v>
      </c>
      <c r="J95" s="59"/>
      <c r="K95" s="59" t="n">
        <f aca="false">K34</f>
        <v>9.056835</v>
      </c>
      <c r="L95" s="59" t="n">
        <v>0</v>
      </c>
      <c r="M95" s="59" t="n">
        <f aca="false">M34</f>
        <v>37</v>
      </c>
      <c r="N95" s="59" t="n">
        <v>0</v>
      </c>
      <c r="O95" s="60" t="n">
        <f aca="false">O34</f>
        <v>37</v>
      </c>
      <c r="P95" s="59" t="n">
        <f aca="false">P34</f>
        <v>37</v>
      </c>
      <c r="Q95" s="61" t="n">
        <f aca="false">Q34</f>
        <v>0.260733336179335</v>
      </c>
      <c r="R95" s="62"/>
      <c r="U95" s="63" t="s">
        <v>203</v>
      </c>
      <c r="Z95" s="1"/>
      <c r="AA95" s="65" t="n">
        <f aca="false">O95</f>
        <v>37</v>
      </c>
      <c r="AB95" s="1" t="n">
        <f aca="false">C95</f>
        <v>1</v>
      </c>
      <c r="AC95" s="1" t="n">
        <f aca="false">IF(B95="шт","—",P95)</f>
        <v>37</v>
      </c>
      <c r="AD95" s="66" t="s">
        <v>204</v>
      </c>
      <c r="AE95" s="66" t="s">
        <v>151</v>
      </c>
      <c r="AF95" s="66" t="s">
        <v>212</v>
      </c>
      <c r="AG95" s="81" t="s">
        <v>206</v>
      </c>
      <c r="AH95" s="67" t="n">
        <v>0.25</v>
      </c>
      <c r="AP95" s="1" t="s">
        <v>156</v>
      </c>
    </row>
    <row r="96" customFormat="false" ht="15" hidden="false" customHeight="true" outlineLevel="0" collapsed="false">
      <c r="A96" s="59" t="s">
        <v>326</v>
      </c>
      <c r="B96" s="59" t="s">
        <v>163</v>
      </c>
      <c r="C96" s="59" t="n">
        <v>5</v>
      </c>
      <c r="D96" s="59" t="n">
        <v>5</v>
      </c>
      <c r="E96" s="59" t="s">
        <v>168</v>
      </c>
      <c r="F96" s="59" t="n">
        <v>0.067</v>
      </c>
      <c r="G96" s="59" t="s">
        <v>150</v>
      </c>
      <c r="H96" s="59" t="n">
        <v>0.095</v>
      </c>
      <c r="I96" s="59" t="n">
        <v>20.375</v>
      </c>
      <c r="J96" s="59"/>
      <c r="K96" s="59" t="n">
        <f aca="false">K18</f>
        <v>35.57097</v>
      </c>
      <c r="L96" s="59" t="n">
        <v>0</v>
      </c>
      <c r="M96" s="59" t="n">
        <f aca="false">M18</f>
        <v>144</v>
      </c>
      <c r="N96" s="59" t="n">
        <f aca="false">N18</f>
        <v>145</v>
      </c>
      <c r="O96" s="69" t="n">
        <f aca="false">O18</f>
        <v>145</v>
      </c>
      <c r="P96" s="59" t="n">
        <f aca="false">P18</f>
        <v>29</v>
      </c>
      <c r="Q96" s="61" t="n">
        <f aca="false">Q18</f>
        <v>0.259109378780051</v>
      </c>
      <c r="R96" s="62"/>
      <c r="T96" s="70"/>
      <c r="U96" s="1" t="s">
        <v>327</v>
      </c>
      <c r="V96" s="64"/>
      <c r="X96" s="64"/>
      <c r="Y96" s="64"/>
      <c r="AA96" s="65" t="n">
        <f aca="false">O96</f>
        <v>145</v>
      </c>
      <c r="AB96" s="1" t="n">
        <f aca="false">C96</f>
        <v>5</v>
      </c>
      <c r="AC96" s="1" t="n">
        <f aca="false">IF(B96="шт","—",P96)</f>
        <v>29</v>
      </c>
      <c r="AD96" s="66" t="s">
        <v>168</v>
      </c>
      <c r="AE96" s="66" t="s">
        <v>153</v>
      </c>
      <c r="AF96" s="66" t="s">
        <v>165</v>
      </c>
      <c r="AG96" s="66" t="s">
        <v>170</v>
      </c>
      <c r="AH96" s="67" t="n">
        <v>0.25</v>
      </c>
      <c r="AP96" s="1" t="s">
        <v>156</v>
      </c>
      <c r="AQ96" s="1" t="s">
        <v>156</v>
      </c>
    </row>
    <row r="97" customFormat="false" ht="15" hidden="false" customHeight="true" outlineLevel="0" collapsed="false">
      <c r="A97" s="59" t="s">
        <v>328</v>
      </c>
      <c r="B97" s="59" t="s">
        <v>163</v>
      </c>
      <c r="C97" s="59" t="n">
        <v>5</v>
      </c>
      <c r="D97" s="59" t="n">
        <v>5</v>
      </c>
      <c r="E97" s="59" t="s">
        <v>168</v>
      </c>
      <c r="F97" s="59" t="n">
        <v>0.151</v>
      </c>
      <c r="G97" s="59" t="s">
        <v>150</v>
      </c>
      <c r="H97" s="59" t="n">
        <v>0.205</v>
      </c>
      <c r="I97" s="59" t="n">
        <v>45.375</v>
      </c>
      <c r="J97" s="59"/>
      <c r="K97" s="59" t="n">
        <f aca="false">K17</f>
        <v>80.16741</v>
      </c>
      <c r="L97" s="59" t="n">
        <v>0</v>
      </c>
      <c r="M97" s="59" t="n">
        <f aca="false">M17</f>
        <v>323</v>
      </c>
      <c r="N97" s="59" t="n">
        <f aca="false">N17</f>
        <v>312</v>
      </c>
      <c r="O97" s="60" t="n">
        <f aca="false">O17</f>
        <v>323</v>
      </c>
      <c r="P97" s="59" t="n">
        <f aca="false">P17</f>
        <v>65</v>
      </c>
      <c r="Q97" s="61" t="n">
        <f aca="false">Q17</f>
        <v>0.250413559834999</v>
      </c>
      <c r="R97" s="62"/>
      <c r="T97" s="70"/>
      <c r="U97" s="1" t="s">
        <v>329</v>
      </c>
      <c r="V97" s="64"/>
      <c r="X97" s="64"/>
      <c r="Y97" s="64"/>
      <c r="AA97" s="65" t="n">
        <f aca="false">O97</f>
        <v>323</v>
      </c>
      <c r="AB97" s="1" t="n">
        <f aca="false">C97</f>
        <v>5</v>
      </c>
      <c r="AC97" s="1" t="n">
        <f aca="false">IF(B97="шт","—",P97)</f>
        <v>65</v>
      </c>
      <c r="AD97" s="66" t="s">
        <v>168</v>
      </c>
      <c r="AE97" s="66" t="s">
        <v>153</v>
      </c>
      <c r="AF97" s="66" t="s">
        <v>165</v>
      </c>
      <c r="AG97" s="66" t="s">
        <v>170</v>
      </c>
      <c r="AH97" s="67" t="n">
        <v>0.25</v>
      </c>
      <c r="AP97" s="1" t="s">
        <v>156</v>
      </c>
      <c r="AQ97" s="1" t="s">
        <v>156</v>
      </c>
    </row>
    <row r="98" customFormat="false" ht="15" hidden="false" customHeight="true" outlineLevel="0" collapsed="false">
      <c r="A98" s="59" t="s">
        <v>330</v>
      </c>
      <c r="B98" s="59" t="s">
        <v>163</v>
      </c>
      <c r="C98" s="59" t="n">
        <v>5</v>
      </c>
      <c r="D98" s="59" t="n">
        <v>5</v>
      </c>
      <c r="E98" s="59" t="s">
        <v>168</v>
      </c>
      <c r="F98" s="59" t="n">
        <v>0.34</v>
      </c>
      <c r="G98" s="59" t="s">
        <v>150</v>
      </c>
      <c r="H98" s="59" t="n">
        <v>0.51</v>
      </c>
      <c r="I98" s="59" t="n">
        <v>112.25</v>
      </c>
      <c r="J98" s="59"/>
      <c r="K98" s="59" t="n">
        <f aca="false">K16</f>
        <v>180.5094</v>
      </c>
      <c r="L98" s="59" t="n">
        <v>0</v>
      </c>
      <c r="M98" s="59" t="n">
        <f aca="false">M16</f>
        <v>727</v>
      </c>
      <c r="N98" s="59" t="n">
        <f aca="false">N16</f>
        <v>775</v>
      </c>
      <c r="O98" s="69" t="n">
        <f aca="false">O16</f>
        <v>775</v>
      </c>
      <c r="P98" s="59" t="n">
        <f aca="false">P16</f>
        <v>155</v>
      </c>
      <c r="Q98" s="61" t="n">
        <f aca="false">Q16</f>
        <v>0.296564128528772</v>
      </c>
      <c r="R98" s="62"/>
      <c r="T98" s="70"/>
      <c r="U98" s="1" t="s">
        <v>331</v>
      </c>
      <c r="V98" s="64"/>
      <c r="X98" s="64"/>
      <c r="Y98" s="64"/>
      <c r="AA98" s="65" t="n">
        <f aca="false">O98</f>
        <v>775</v>
      </c>
      <c r="AB98" s="1" t="n">
        <f aca="false">C98</f>
        <v>5</v>
      </c>
      <c r="AC98" s="1" t="n">
        <f aca="false">IF(B98="шт","—",P98)</f>
        <v>155</v>
      </c>
      <c r="AD98" s="66" t="s">
        <v>168</v>
      </c>
      <c r="AE98" s="66" t="s">
        <v>153</v>
      </c>
      <c r="AF98" s="66" t="s">
        <v>165</v>
      </c>
      <c r="AG98" s="66" t="s">
        <v>170</v>
      </c>
      <c r="AH98" s="67" t="n">
        <v>0.25</v>
      </c>
      <c r="AP98" s="1" t="s">
        <v>156</v>
      </c>
      <c r="AQ98" s="1" t="s">
        <v>156</v>
      </c>
    </row>
    <row r="99" customFormat="false" ht="15" hidden="false" customHeight="true" outlineLevel="0" collapsed="false">
      <c r="A99" s="59" t="s">
        <v>332</v>
      </c>
      <c r="B99" s="59" t="s">
        <v>163</v>
      </c>
      <c r="C99" s="59" t="n">
        <v>5</v>
      </c>
      <c r="D99" s="59" t="n">
        <v>5</v>
      </c>
      <c r="E99" s="59" t="s">
        <v>168</v>
      </c>
      <c r="F99" s="59" t="n">
        <v>0.0538</v>
      </c>
      <c r="G99" s="59" t="s">
        <v>150</v>
      </c>
      <c r="H99" s="59" t="n">
        <v>0.0775</v>
      </c>
      <c r="I99" s="59" t="n">
        <v>16.375</v>
      </c>
      <c r="J99" s="59"/>
      <c r="K99" s="59" t="n">
        <f aca="false">K20</f>
        <v>28.562958</v>
      </c>
      <c r="L99" s="59" t="n">
        <v>0</v>
      </c>
      <c r="M99" s="59" t="n">
        <f aca="false">M20</f>
        <v>116</v>
      </c>
      <c r="N99" s="59" t="n">
        <f aca="false">N20</f>
        <v>118</v>
      </c>
      <c r="O99" s="69" t="n">
        <f aca="false">O20</f>
        <v>118</v>
      </c>
      <c r="P99" s="59" t="n">
        <f aca="false">P20</f>
        <v>24</v>
      </c>
      <c r="Q99" s="61" t="n">
        <f aca="false">Q20</f>
        <v>0.268949185917427</v>
      </c>
      <c r="R99" s="62"/>
      <c r="T99" s="70"/>
      <c r="U99" s="1" t="s">
        <v>333</v>
      </c>
      <c r="V99" s="64"/>
      <c r="X99" s="64"/>
      <c r="Y99" s="64"/>
      <c r="AA99" s="65" t="n">
        <f aca="false">O99</f>
        <v>118</v>
      </c>
      <c r="AB99" s="1" t="n">
        <f aca="false">C99</f>
        <v>5</v>
      </c>
      <c r="AC99" s="1" t="n">
        <f aca="false">IF(B99="шт","—",P99)</f>
        <v>24</v>
      </c>
      <c r="AD99" s="66" t="s">
        <v>168</v>
      </c>
      <c r="AE99" s="66" t="s">
        <v>153</v>
      </c>
      <c r="AF99" s="66" t="s">
        <v>165</v>
      </c>
      <c r="AG99" s="66" t="s">
        <v>170</v>
      </c>
      <c r="AH99" s="67" t="n">
        <v>0.25</v>
      </c>
      <c r="AP99" s="1" t="s">
        <v>156</v>
      </c>
      <c r="AQ99" s="1" t="s">
        <v>156</v>
      </c>
    </row>
    <row r="100" customFormat="false" ht="15" hidden="false" customHeight="true" outlineLevel="0" collapsed="false">
      <c r="A100" s="59" t="s">
        <v>334</v>
      </c>
      <c r="B100" s="59" t="s">
        <v>163</v>
      </c>
      <c r="C100" s="59" t="n">
        <v>5</v>
      </c>
      <c r="D100" s="59" t="n">
        <v>5</v>
      </c>
      <c r="E100" s="59" t="s">
        <v>168</v>
      </c>
      <c r="F100" s="59" t="n">
        <v>0.121</v>
      </c>
      <c r="G100" s="59" t="s">
        <v>150</v>
      </c>
      <c r="H100" s="59" t="n">
        <v>0.165</v>
      </c>
      <c r="I100" s="59" t="n">
        <v>36.25</v>
      </c>
      <c r="J100" s="59"/>
      <c r="K100" s="59" t="n">
        <f aca="false">K19</f>
        <v>64.24011</v>
      </c>
      <c r="L100" s="59" t="n">
        <v>0</v>
      </c>
      <c r="M100" s="59" t="n">
        <f aca="false">M19</f>
        <v>259</v>
      </c>
      <c r="N100" s="59" t="n">
        <f aca="false">N19</f>
        <v>251</v>
      </c>
      <c r="O100" s="60" t="n">
        <f aca="false">O19</f>
        <v>259</v>
      </c>
      <c r="P100" s="59" t="n">
        <f aca="false">P19</f>
        <v>52</v>
      </c>
      <c r="Q100" s="61" t="n">
        <f aca="false">Q19</f>
        <v>0.25091189135573</v>
      </c>
      <c r="R100" s="62"/>
      <c r="T100" s="70"/>
      <c r="U100" s="1" t="s">
        <v>335</v>
      </c>
      <c r="V100" s="64"/>
      <c r="X100" s="64"/>
      <c r="Y100" s="64"/>
      <c r="AA100" s="65" t="n">
        <f aca="false">O100</f>
        <v>259</v>
      </c>
      <c r="AB100" s="1" t="n">
        <f aca="false">C100</f>
        <v>5</v>
      </c>
      <c r="AC100" s="1" t="n">
        <f aca="false">IF(B100="шт","—",P100)</f>
        <v>52</v>
      </c>
      <c r="AD100" s="66" t="s">
        <v>168</v>
      </c>
      <c r="AE100" s="66" t="s">
        <v>153</v>
      </c>
      <c r="AF100" s="66" t="s">
        <v>165</v>
      </c>
      <c r="AG100" s="66" t="s">
        <v>170</v>
      </c>
      <c r="AH100" s="67" t="n">
        <v>0.25</v>
      </c>
      <c r="AP100" s="1" t="s">
        <v>156</v>
      </c>
      <c r="AQ100" s="1" t="s">
        <v>156</v>
      </c>
    </row>
    <row r="101" customFormat="false" ht="15" hidden="false" customHeight="true" outlineLevel="0" collapsed="false">
      <c r="A101" s="59" t="s">
        <v>336</v>
      </c>
      <c r="B101" s="59" t="s">
        <v>163</v>
      </c>
      <c r="C101" s="59" t="n">
        <v>5</v>
      </c>
      <c r="D101" s="59" t="n">
        <v>5</v>
      </c>
      <c r="E101" s="59" t="s">
        <v>168</v>
      </c>
      <c r="F101" s="59" t="n">
        <v>0.084</v>
      </c>
      <c r="G101" s="59" t="s">
        <v>151</v>
      </c>
      <c r="H101" s="59" t="s">
        <v>151</v>
      </c>
      <c r="I101" s="59" t="s">
        <v>151</v>
      </c>
      <c r="J101" s="59"/>
      <c r="K101" s="59" t="n">
        <f aca="false">F101*C101*IF(E101="OpenRouter",$F$3,$F$4)</f>
        <v>44.59644</v>
      </c>
      <c r="L101" s="59" t="n">
        <v>0</v>
      </c>
      <c r="M101" s="59" t="n">
        <f aca="false">ROUNDUP(K101*(C101/D101)/($B$4*(1-AH101)),0)</f>
        <v>180</v>
      </c>
      <c r="N101" s="59" t="n">
        <v>0</v>
      </c>
      <c r="O101" s="60" t="n">
        <f aca="false">MAX(L101,M101,N101)</f>
        <v>180</v>
      </c>
      <c r="P101" s="59" t="n">
        <f aca="false">ROUND(O101/C101,0)</f>
        <v>36</v>
      </c>
      <c r="Q101" s="61" t="n">
        <f aca="false">1-K101/(O101*$B$4)</f>
        <v>0.251737332797762</v>
      </c>
      <c r="R101" s="62"/>
      <c r="U101" s="63" t="s">
        <v>337</v>
      </c>
      <c r="AA101" s="65" t="n">
        <f aca="false">O101</f>
        <v>180</v>
      </c>
      <c r="AB101" s="1" t="n">
        <f aca="false">C101</f>
        <v>5</v>
      </c>
      <c r="AC101" s="1" t="n">
        <f aca="false">P101</f>
        <v>36</v>
      </c>
      <c r="AD101" s="66" t="s">
        <v>168</v>
      </c>
      <c r="AE101" s="66" t="s">
        <v>151</v>
      </c>
      <c r="AF101" s="66" t="s">
        <v>188</v>
      </c>
      <c r="AG101" s="66" t="s">
        <v>189</v>
      </c>
      <c r="AH101" s="67" t="n">
        <v>0.25</v>
      </c>
      <c r="AP101" s="1" t="s">
        <v>156</v>
      </c>
    </row>
    <row r="102" customFormat="false" ht="15" hidden="false" customHeight="true" outlineLevel="0" collapsed="false">
      <c r="A102" s="59" t="s">
        <v>338</v>
      </c>
      <c r="B102" s="59" t="s">
        <v>163</v>
      </c>
      <c r="C102" s="59" t="n">
        <v>6</v>
      </c>
      <c r="D102" s="59" t="n">
        <v>6</v>
      </c>
      <c r="E102" s="59" t="s">
        <v>150</v>
      </c>
      <c r="F102" s="59" t="n">
        <v>0.0225</v>
      </c>
      <c r="G102" s="59" t="s">
        <v>151</v>
      </c>
      <c r="H102" s="59" t="s">
        <v>151</v>
      </c>
      <c r="I102" s="59" t="n">
        <v>8</v>
      </c>
      <c r="J102" s="59"/>
      <c r="K102" s="59" t="n">
        <f aca="false">K28</f>
        <v>13.5852525</v>
      </c>
      <c r="L102" s="59" t="n">
        <v>0</v>
      </c>
      <c r="M102" s="59" t="n">
        <f aca="false">M28</f>
        <v>69</v>
      </c>
      <c r="N102" s="59" t="n">
        <v>0</v>
      </c>
      <c r="O102" s="60" t="n">
        <f aca="false">O28</f>
        <v>69</v>
      </c>
      <c r="P102" s="59" t="n">
        <f aca="false">P28</f>
        <v>12</v>
      </c>
      <c r="Q102" s="61" t="n">
        <f aca="false">Q28</f>
        <v>0.405372466057291</v>
      </c>
      <c r="R102" s="62"/>
      <c r="T102" s="70"/>
      <c r="U102" s="1" t="s">
        <v>339</v>
      </c>
      <c r="V102" s="64"/>
      <c r="X102" s="64"/>
      <c r="Y102" s="64"/>
      <c r="AA102" s="65" t="n">
        <f aca="false">O102</f>
        <v>69</v>
      </c>
      <c r="AB102" s="1" t="n">
        <f aca="false">C102</f>
        <v>6</v>
      </c>
      <c r="AC102" s="1" t="n">
        <f aca="false">P102</f>
        <v>12</v>
      </c>
      <c r="AD102" s="66" t="s">
        <v>153</v>
      </c>
      <c r="AE102" s="66" t="s">
        <v>151</v>
      </c>
      <c r="AF102" s="66" t="s">
        <v>192</v>
      </c>
      <c r="AG102" s="66" t="s">
        <v>340</v>
      </c>
      <c r="AH102" s="79" t="n">
        <v>0.4</v>
      </c>
      <c r="AP102" s="1" t="s">
        <v>156</v>
      </c>
    </row>
    <row r="103" customFormat="false" ht="15" hidden="false" customHeight="true" outlineLevel="0" collapsed="false">
      <c r="A103" s="59" t="s">
        <v>341</v>
      </c>
      <c r="B103" s="59" t="s">
        <v>163</v>
      </c>
      <c r="C103" s="59" t="n">
        <v>6</v>
      </c>
      <c r="D103" s="59" t="n">
        <v>6</v>
      </c>
      <c r="E103" s="59" t="s">
        <v>150</v>
      </c>
      <c r="F103" s="59" t="n">
        <v>0.012</v>
      </c>
      <c r="G103" s="59" t="s">
        <v>151</v>
      </c>
      <c r="H103" s="59" t="s">
        <v>151</v>
      </c>
      <c r="I103" s="59" t="n">
        <v>5</v>
      </c>
      <c r="J103" s="59"/>
      <c r="K103" s="59" t="n">
        <f aca="false">K29</f>
        <v>7.245468</v>
      </c>
      <c r="L103" s="59" t="n">
        <v>0</v>
      </c>
      <c r="M103" s="59" t="n">
        <f aca="false">M29</f>
        <v>37</v>
      </c>
      <c r="N103" s="59" t="n">
        <v>0</v>
      </c>
      <c r="O103" s="60" t="n">
        <f aca="false">O29</f>
        <v>37</v>
      </c>
      <c r="P103" s="59" t="n">
        <f aca="false">P29</f>
        <v>6</v>
      </c>
      <c r="Q103" s="61" t="n">
        <f aca="false">Q29</f>
        <v>0.408586668943468</v>
      </c>
      <c r="R103" s="62"/>
      <c r="T103" s="70"/>
      <c r="U103" s="1" t="s">
        <v>342</v>
      </c>
      <c r="V103" s="64"/>
      <c r="X103" s="64"/>
      <c r="Y103" s="64"/>
      <c r="AA103" s="65" t="n">
        <f aca="false">O103</f>
        <v>37</v>
      </c>
      <c r="AB103" s="1" t="n">
        <f aca="false">C103</f>
        <v>6</v>
      </c>
      <c r="AC103" s="1" t="n">
        <f aca="false">P103</f>
        <v>6</v>
      </c>
      <c r="AD103" s="66" t="s">
        <v>153</v>
      </c>
      <c r="AE103" s="66" t="s">
        <v>151</v>
      </c>
      <c r="AF103" s="66" t="s">
        <v>192</v>
      </c>
      <c r="AG103" s="66" t="s">
        <v>340</v>
      </c>
      <c r="AH103" s="79" t="n">
        <v>0.4</v>
      </c>
      <c r="AP103" s="1" t="s">
        <v>156</v>
      </c>
    </row>
    <row r="104" customFormat="false" ht="15" hidden="false" customHeight="true" outlineLevel="0" collapsed="false">
      <c r="A104" s="59" t="s">
        <v>343</v>
      </c>
      <c r="B104" s="59" t="s">
        <v>220</v>
      </c>
      <c r="C104" s="59" t="n">
        <v>1</v>
      </c>
      <c r="D104" s="59" t="n">
        <v>1</v>
      </c>
      <c r="E104" s="59" t="s">
        <v>150</v>
      </c>
      <c r="F104" s="59" t="n">
        <v>0.035</v>
      </c>
      <c r="G104" s="59" t="s">
        <v>151</v>
      </c>
      <c r="H104" s="59" t="s">
        <v>151</v>
      </c>
      <c r="I104" s="59" t="s">
        <v>151</v>
      </c>
      <c r="J104" s="59"/>
      <c r="K104" s="59" t="n">
        <f aca="false">F104*C104*IF(E104="OpenRouter",$F$3,$F$4)</f>
        <v>3.5221025</v>
      </c>
      <c r="L104" s="59" t="n">
        <v>0</v>
      </c>
      <c r="M104" s="59" t="n">
        <f aca="false">ROUNDUP(K104*(C104/D104)/($B$4*(1-AH104)),0)</f>
        <v>15</v>
      </c>
      <c r="N104" s="59" t="n">
        <v>0</v>
      </c>
      <c r="O104" s="60" t="n">
        <f aca="false">MAX(L104,M104,N104)</f>
        <v>15</v>
      </c>
      <c r="P104" s="59" t="n">
        <f aca="false">ROUND(O104/C104,0)</f>
        <v>15</v>
      </c>
      <c r="Q104" s="61" t="n">
        <f aca="false">1-K104/(O104*$B$4)</f>
        <v>0.290851607668325</v>
      </c>
      <c r="R104" s="62"/>
      <c r="U104" s="1" t="s">
        <v>344</v>
      </c>
      <c r="AA104" s="65" t="n">
        <f aca="false">O104</f>
        <v>15</v>
      </c>
      <c r="AB104" s="1" t="n">
        <f aca="false">C104</f>
        <v>1</v>
      </c>
      <c r="AC104" s="1" t="s">
        <v>151</v>
      </c>
      <c r="AD104" s="66" t="s">
        <v>153</v>
      </c>
      <c r="AE104" s="66" t="s">
        <v>151</v>
      </c>
      <c r="AF104" s="66" t="s">
        <v>345</v>
      </c>
      <c r="AG104" s="66" t="s">
        <v>346</v>
      </c>
      <c r="AH104" s="67" t="n">
        <v>0.25</v>
      </c>
      <c r="AO104" s="1" t="n">
        <v>2.359</v>
      </c>
      <c r="AP104" s="1" t="s">
        <v>156</v>
      </c>
    </row>
    <row r="105" customFormat="false" ht="15" hidden="false" customHeight="true" outlineLevel="0" collapsed="false">
      <c r="A105" s="59" t="s">
        <v>347</v>
      </c>
      <c r="B105" s="59" t="s">
        <v>220</v>
      </c>
      <c r="C105" s="59" t="n">
        <v>1</v>
      </c>
      <c r="D105" s="59" t="n">
        <v>1</v>
      </c>
      <c r="E105" s="59" t="s">
        <v>150</v>
      </c>
      <c r="F105" s="59" t="n">
        <v>0.035</v>
      </c>
      <c r="G105" s="59" t="s">
        <v>151</v>
      </c>
      <c r="H105" s="59" t="s">
        <v>151</v>
      </c>
      <c r="I105" s="59" t="s">
        <v>151</v>
      </c>
      <c r="J105" s="59"/>
      <c r="K105" s="59" t="n">
        <f aca="false">F105*C105*IF(E105="OpenRouter",$F$3,$F$4)</f>
        <v>3.5221025</v>
      </c>
      <c r="L105" s="59" t="n">
        <v>0</v>
      </c>
      <c r="M105" s="59" t="n">
        <f aca="false">ROUNDUP(K105*(C105/D105)/($B$4*(1-AH105)),0)</f>
        <v>15</v>
      </c>
      <c r="N105" s="59" t="n">
        <v>0</v>
      </c>
      <c r="O105" s="60" t="n">
        <f aca="false">O104</f>
        <v>15</v>
      </c>
      <c r="P105" s="59" t="n">
        <f aca="false">ROUND(O105/C105,0)</f>
        <v>15</v>
      </c>
      <c r="Q105" s="61" t="n">
        <f aca="false">1-K105/(O105*$B$4)</f>
        <v>0.290851607668325</v>
      </c>
      <c r="R105" s="62"/>
      <c r="U105" s="1" t="s">
        <v>348</v>
      </c>
      <c r="AA105" s="65" t="n">
        <f aca="false">O105</f>
        <v>15</v>
      </c>
      <c r="AB105" s="1" t="n">
        <f aca="false">C105</f>
        <v>1</v>
      </c>
      <c r="AC105" s="1" t="s">
        <v>151</v>
      </c>
      <c r="AD105" s="66" t="s">
        <v>153</v>
      </c>
      <c r="AE105" s="66" t="s">
        <v>151</v>
      </c>
      <c r="AF105" s="66" t="s">
        <v>345</v>
      </c>
      <c r="AG105" s="68" t="s">
        <v>349</v>
      </c>
      <c r="AH105" s="67" t="n">
        <v>0.25</v>
      </c>
      <c r="AO105" s="1" t="n">
        <v>2.359</v>
      </c>
      <c r="AP105" s="1" t="s">
        <v>156</v>
      </c>
    </row>
    <row r="106" customFormat="false" ht="15" hidden="false" customHeight="true" outlineLevel="0" collapsed="false">
      <c r="A106" s="59" t="s">
        <v>350</v>
      </c>
      <c r="B106" s="59" t="s">
        <v>220</v>
      </c>
      <c r="C106" s="59" t="n">
        <v>1</v>
      </c>
      <c r="D106" s="59" t="n">
        <v>1</v>
      </c>
      <c r="E106" s="59" t="s">
        <v>150</v>
      </c>
      <c r="F106" s="59" t="n">
        <v>0.035</v>
      </c>
      <c r="G106" s="59" t="s">
        <v>151</v>
      </c>
      <c r="H106" s="59" t="s">
        <v>151</v>
      </c>
      <c r="I106" s="59" t="s">
        <v>151</v>
      </c>
      <c r="J106" s="59"/>
      <c r="K106" s="59" t="n">
        <f aca="false">F106*C106*IF(E106="OpenRouter",$F$3,$F$4)</f>
        <v>3.5221025</v>
      </c>
      <c r="L106" s="59" t="n">
        <v>0</v>
      </c>
      <c r="M106" s="59" t="n">
        <f aca="false">ROUNDUP(K106*(C106/D106)/($B$4*(1-AH106)),0)</f>
        <v>15</v>
      </c>
      <c r="N106" s="59" t="n">
        <v>0</v>
      </c>
      <c r="O106" s="60" t="n">
        <f aca="false">O104</f>
        <v>15</v>
      </c>
      <c r="P106" s="59" t="n">
        <f aca="false">ROUND(O106/C106,0)</f>
        <v>15</v>
      </c>
      <c r="Q106" s="61" t="n">
        <f aca="false">1-K106/(O106*$B$4)</f>
        <v>0.290851607668325</v>
      </c>
      <c r="R106" s="62"/>
      <c r="U106" s="1" t="s">
        <v>348</v>
      </c>
      <c r="AA106" s="65" t="n">
        <f aca="false">O106</f>
        <v>15</v>
      </c>
      <c r="AB106" s="1" t="n">
        <f aca="false">C106</f>
        <v>1</v>
      </c>
      <c r="AC106" s="1" t="s">
        <v>151</v>
      </c>
      <c r="AD106" s="66" t="s">
        <v>153</v>
      </c>
      <c r="AE106" s="66" t="s">
        <v>151</v>
      </c>
      <c r="AF106" s="66" t="s">
        <v>345</v>
      </c>
      <c r="AG106" s="68" t="s">
        <v>349</v>
      </c>
      <c r="AH106" s="67" t="n">
        <v>0.25</v>
      </c>
      <c r="AO106" s="1" t="n">
        <v>2.359</v>
      </c>
      <c r="AP106" s="1" t="s">
        <v>156</v>
      </c>
    </row>
    <row r="107" customFormat="false" ht="15" hidden="false" customHeight="true" outlineLevel="0" collapsed="false">
      <c r="A107" s="86" t="s">
        <v>351</v>
      </c>
      <c r="B107" s="59"/>
      <c r="C107" s="59"/>
      <c r="D107" s="59"/>
      <c r="E107" s="59"/>
      <c r="F107" s="59"/>
      <c r="G107" s="59"/>
      <c r="H107" s="59"/>
      <c r="I107" s="59"/>
      <c r="J107" s="59"/>
      <c r="K107" s="59"/>
      <c r="L107" s="59"/>
      <c r="M107" s="59"/>
      <c r="N107" s="59"/>
      <c r="O107" s="60"/>
      <c r="P107" s="59"/>
      <c r="Q107" s="61"/>
      <c r="R107" s="62"/>
      <c r="T107" s="70"/>
      <c r="U107" s="1" t="s">
        <v>352</v>
      </c>
      <c r="V107" s="64"/>
      <c r="X107" s="64"/>
      <c r="Y107" s="64"/>
      <c r="AA107" s="65"/>
      <c r="AD107" s="66"/>
      <c r="AE107" s="66"/>
      <c r="AF107" s="66"/>
      <c r="AG107" s="68"/>
      <c r="AH107" s="67"/>
    </row>
    <row r="108" customFormat="false" ht="15" hidden="false" customHeight="true" outlineLevel="0" collapsed="false">
      <c r="A108" s="86" t="s">
        <v>353</v>
      </c>
      <c r="B108" s="59"/>
      <c r="C108" s="59"/>
      <c r="D108" s="59"/>
      <c r="E108" s="59"/>
      <c r="F108" s="59"/>
      <c r="G108" s="59"/>
      <c r="H108" s="59"/>
      <c r="I108" s="59"/>
      <c r="J108" s="59"/>
      <c r="K108" s="59"/>
      <c r="L108" s="59"/>
      <c r="M108" s="59"/>
      <c r="N108" s="59"/>
      <c r="O108" s="60"/>
      <c r="P108" s="59"/>
      <c r="Q108" s="61"/>
      <c r="R108" s="62"/>
      <c r="T108" s="70"/>
      <c r="U108" s="1" t="s">
        <v>352</v>
      </c>
      <c r="V108" s="64"/>
      <c r="X108" s="64"/>
      <c r="Y108" s="64"/>
      <c r="AA108" s="65"/>
      <c r="AD108" s="66"/>
      <c r="AE108" s="66"/>
      <c r="AF108" s="66"/>
      <c r="AG108" s="68"/>
      <c r="AH108" s="67"/>
    </row>
    <row r="109" customFormat="false" ht="15" hidden="false" customHeight="true" outlineLevel="0" collapsed="false">
      <c r="A109" s="86" t="s">
        <v>354</v>
      </c>
      <c r="B109" s="59"/>
      <c r="C109" s="59"/>
      <c r="D109" s="59"/>
      <c r="E109" s="59"/>
      <c r="F109" s="59"/>
      <c r="G109" s="59"/>
      <c r="H109" s="59"/>
      <c r="I109" s="59"/>
      <c r="J109" s="59"/>
      <c r="K109" s="59"/>
      <c r="L109" s="59"/>
      <c r="M109" s="59"/>
      <c r="N109" s="59"/>
      <c r="O109" s="60"/>
      <c r="P109" s="59"/>
      <c r="Q109" s="61"/>
      <c r="R109" s="62"/>
      <c r="T109" s="70"/>
      <c r="U109" s="1" t="s">
        <v>352</v>
      </c>
      <c r="V109" s="64"/>
      <c r="X109" s="64"/>
      <c r="Y109" s="64"/>
      <c r="AA109" s="65"/>
      <c r="AD109" s="66"/>
      <c r="AE109" s="66"/>
      <c r="AF109" s="66"/>
      <c r="AG109" s="68"/>
      <c r="AH109" s="67"/>
    </row>
    <row r="110" customFormat="false" ht="15" hidden="false" customHeight="true" outlineLevel="0" collapsed="false">
      <c r="A110" s="86" t="s">
        <v>355</v>
      </c>
      <c r="B110" s="59"/>
      <c r="C110" s="59"/>
      <c r="D110" s="59"/>
      <c r="E110" s="59"/>
      <c r="F110" s="59"/>
      <c r="G110" s="59"/>
      <c r="H110" s="59"/>
      <c r="I110" s="59"/>
      <c r="J110" s="59"/>
      <c r="K110" s="59"/>
      <c r="L110" s="59"/>
      <c r="M110" s="59"/>
      <c r="N110" s="59"/>
      <c r="O110" s="60"/>
      <c r="P110" s="59"/>
      <c r="Q110" s="61"/>
      <c r="R110" s="62"/>
      <c r="T110" s="70"/>
      <c r="U110" s="1" t="s">
        <v>352</v>
      </c>
      <c r="V110" s="64"/>
      <c r="X110" s="64"/>
      <c r="Y110" s="64"/>
      <c r="AA110" s="65"/>
      <c r="AD110" s="66"/>
      <c r="AE110" s="66"/>
      <c r="AF110" s="66"/>
      <c r="AG110" s="68"/>
      <c r="AH110" s="6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1"/>
    <col collapsed="false" customWidth="true" hidden="false" outlineLevel="0" max="4" min="4" style="0" width="7"/>
    <col collapsed="false" customWidth="true" hidden="false" outlineLevel="0" max="5" min="5" style="0" width="9"/>
    <col collapsed="false" customWidth="true" hidden="false" outlineLevel="0" max="6" min="6" style="0" width="5"/>
    <col collapsed="false" customWidth="true" hidden="false" outlineLevel="0" max="7" min="7" style="0" width="11"/>
    <col collapsed="false" customWidth="true" hidden="false" outlineLevel="0" max="8" min="8" style="0" width="13"/>
    <col collapsed="false" customWidth="true" hidden="false" outlineLevel="0" max="9" min="9" style="0" width="14"/>
    <col collapsed="false" customWidth="true" hidden="false" outlineLevel="0" max="10" min="10" style="0" width="26"/>
    <col collapsed="false" customWidth="true" hidden="false" outlineLevel="0" max="11" min="11" style="0" width="11"/>
    <col collapsed="false" customWidth="true" hidden="false" outlineLevel="0" max="12" min="12" style="0" width="8"/>
    <col collapsed="false" customWidth="true" hidden="false" outlineLevel="0" max="13" min="13" style="0" width="15"/>
    <col collapsed="false" customWidth="true" hidden="false" outlineLevel="0" max="14" min="14" style="0" width="9"/>
    <col collapsed="false" customWidth="true" hidden="false" outlineLevel="0" max="15" min="15" style="0" width="11"/>
    <col collapsed="false" customWidth="true" hidden="false" outlineLevel="0" max="16" min="16" style="0" width="10"/>
    <col collapsed="false" customWidth="true" hidden="false" outlineLevel="0" max="17" min="17" style="0" width="9"/>
    <col collapsed="false" customWidth="true" hidden="false" outlineLevel="0" max="18" min="18" style="0" width="42"/>
    <col collapsed="false" customWidth="true" hidden="false" outlineLevel="0" max="19" min="19" style="0" width="9"/>
    <col collapsed="false" customWidth="true" hidden="false" outlineLevel="0" max="20" min="20" style="0" width="10"/>
    <col collapsed="false" customWidth="true" hidden="false" outlineLevel="0" max="21" min="21" style="0" width="15"/>
    <col collapsed="false" customWidth="true" hidden="false" outlineLevel="0" max="22" min="22" style="0" width="18"/>
    <col collapsed="false" customWidth="true" hidden="false" outlineLevel="0" max="23" min="23" style="0" width="12"/>
    <col collapsed="false" customWidth="true" hidden="false" outlineLevel="0" max="24" min="24" style="0" width="8"/>
    <col collapsed="false" customWidth="true" hidden="false" outlineLevel="0" max="25" min="25" style="0" width="7"/>
    <col collapsed="false" customWidth="true" hidden="false" outlineLevel="0" max="27" min="26" style="0" width="9"/>
    <col collapsed="false" customWidth="true" hidden="false" outlineLevel="0" max="28" min="28" style="0" width="16"/>
    <col collapsed="false" customWidth="true" hidden="false" outlineLevel="0" max="29" min="29" style="0" width="11"/>
    <col collapsed="false" customWidth="true" hidden="false" outlineLevel="0" max="30" min="30" style="0" width="44"/>
    <col collapsed="false" customWidth="true" hidden="false" outlineLevel="0" max="31" min="31" style="0" width="50"/>
    <col collapsed="false" customWidth="true" hidden="false" outlineLevel="0" max="32" min="32" style="0" width="52"/>
    <col collapsed="false" customWidth="true" hidden="false" outlineLevel="0" max="33" min="33" style="0" width="18"/>
    <col collapsed="false" customWidth="true" hidden="false" outlineLevel="0" max="34" min="34" style="0" width="12"/>
  </cols>
  <sheetData>
    <row r="1" customFormat="false" ht="15" hidden="false" customHeight="false" outlineLevel="0" collapsed="false">
      <c r="A1" s="87" t="inlineStr">
        <is>
          <t xml:space="preserve">ЭКСПОРТ ДЛЯ ДВИЖКА МАРШРУТИЗАЦИИ · ВЕРСИЯ 2026-08-14 · РЕД. 22 · ЛИСТ ГЕНЕРИРУЕТСЯ ЦЕЛИКОМ ИЗ «Сетка FX», НИКОГДА НЕ ПРАВИТСЯ ТОЧЕЧНО</t>
        </is>
      </c>
    </row>
    <row r="2" customFormat="false" ht="15" hidden="false" customHeight="false" outlineLevel="0" collapsed="false">
      <c r="A2" s="0" t="s">
        <v>357</v>
      </c>
    </row>
    <row r="3" customFormat="false" ht="15" hidden="false" customHeight="false" outlineLevel="0" collapsed="false">
      <c r="A3" s="88" t="inlineStr">
        <is>
          <t xml:space="preserve">СТРОК ДАННЫХ: 140   ·   КОНТРОЛЬНАЯ СУММА КРЕДИТОВ: 26729   ·   КОНТРОЛЬНАЯ СУММА МАРЖИ: 35.241635   ·   РАЗЛИЧНЫХ КЛЮЧЕЙ СТРОК: 140</t>
        </is>
      </c>
    </row>
    <row r="4" customFormat="false" ht="39.75" hidden="false" customHeight="true" outlineLevel="0" collapsed="false">
      <c r="A4" s="89" t="inlineStr">
        <is>
          <t xml:space="preserve">РЕД. 22: добавлены восемь подписанных fallback-cost rows: gemini-2.5 flash image для t2i/i2i и GPT Image 2 для low/medium/high в t2i/i2i. GPT quality rows costed for margin governance; route remains unarmed until Kie quality mapping is approved. Workbook remains the SSOT; regenerate cost-legs.csv after every financial edit.</t>
        </is>
      </c>
    </row>
    <row r="5" customFormat="false" ht="15" hidden="false" customHeight="false" outlineLevel="0" collapsed="false">
      <c r="A5" s="90" t="s">
        <v>360</v>
      </c>
    </row>
    <row r="7" customFormat="false" ht="32.8" hidden="false" customHeight="false" outlineLevel="0" collapsed="false">
      <c r="A7" s="91" t="s">
        <v>361</v>
      </c>
      <c r="B7" s="91" t="s">
        <v>362</v>
      </c>
      <c r="C7" s="91" t="s">
        <v>363</v>
      </c>
      <c r="D7" s="91" t="s">
        <v>364</v>
      </c>
      <c r="E7" s="91" t="s">
        <v>365</v>
      </c>
      <c r="F7" s="91" t="s">
        <v>366</v>
      </c>
      <c r="G7" s="91" t="s">
        <v>367</v>
      </c>
      <c r="H7" s="91" t="s">
        <v>368</v>
      </c>
      <c r="I7" s="91" t="s">
        <v>369</v>
      </c>
      <c r="J7" s="91" t="s">
        <v>135</v>
      </c>
      <c r="K7" s="91" t="s">
        <v>109</v>
      </c>
      <c r="L7" s="91" t="s">
        <v>370</v>
      </c>
      <c r="M7" s="91" t="s">
        <v>371</v>
      </c>
      <c r="N7" s="91" t="s">
        <v>110</v>
      </c>
      <c r="O7" s="91" t="s">
        <v>372</v>
      </c>
      <c r="P7" s="91" t="s">
        <v>373</v>
      </c>
      <c r="Q7" s="91" t="s">
        <v>374</v>
      </c>
      <c r="R7" s="91" t="s">
        <v>375</v>
      </c>
      <c r="S7" s="91" t="s">
        <v>376</v>
      </c>
      <c r="T7" s="91" t="s">
        <v>377</v>
      </c>
      <c r="U7" s="91" t="s">
        <v>378</v>
      </c>
      <c r="V7" s="91" t="s">
        <v>379</v>
      </c>
      <c r="W7" s="91" t="s">
        <v>380</v>
      </c>
      <c r="X7" s="91" t="s">
        <v>381</v>
      </c>
      <c r="Y7" s="91" t="s">
        <v>382</v>
      </c>
      <c r="Z7" s="91" t="s">
        <v>383</v>
      </c>
      <c r="AA7" s="91" t="s">
        <v>384</v>
      </c>
      <c r="AB7" s="91" t="s">
        <v>385</v>
      </c>
      <c r="AC7" s="91" t="s">
        <v>386</v>
      </c>
      <c r="AD7" s="91" t="s">
        <v>387</v>
      </c>
      <c r="AE7" s="91" t="s">
        <v>388</v>
      </c>
      <c r="AF7" s="91" t="s">
        <v>389</v>
      </c>
      <c r="AG7" s="91" t="s">
        <v>390</v>
      </c>
      <c r="AH7" s="91" t="s">
        <v>391</v>
      </c>
    </row>
    <row r="8" customFormat="false" ht="15" hidden="false" customHeight="false" outlineLevel="0" collapsed="false">
      <c r="A8" s="0" t="s">
        <v>154</v>
      </c>
      <c r="B8" s="0" t="s">
        <v>392</v>
      </c>
      <c r="C8" s="0" t="s">
        <v>393</v>
      </c>
      <c r="D8" s="0" t="s">
        <v>156</v>
      </c>
      <c r="F8" s="0" t="n">
        <v>1</v>
      </c>
      <c r="G8" s="0" t="s">
        <v>394</v>
      </c>
      <c r="H8" s="0" t="s">
        <v>153</v>
      </c>
      <c r="I8" s="0" t="s">
        <v>395</v>
      </c>
      <c r="J8" s="0" t="s">
        <v>154</v>
      </c>
      <c r="K8" s="0" t="s">
        <v>396</v>
      </c>
      <c r="L8" s="0" t="n">
        <v>1.1839</v>
      </c>
      <c r="M8" s="0" t="s">
        <v>149</v>
      </c>
      <c r="N8" s="0" t="n">
        <v>1.25</v>
      </c>
      <c r="O8" s="0" t="n">
        <v>100.6315</v>
      </c>
      <c r="P8" s="0" t="n">
        <v>125.79</v>
      </c>
      <c r="Q8" s="0" t="s">
        <v>156</v>
      </c>
      <c r="R8" s="0" t="s">
        <v>155</v>
      </c>
      <c r="S8" s="0" t="n">
        <v>597</v>
      </c>
      <c r="T8" s="92" t="n">
        <v>0.36365</v>
      </c>
      <c r="U8" s="0" t="n">
        <v>1</v>
      </c>
      <c r="V8" s="0" t="s">
        <v>397</v>
      </c>
      <c r="W8" s="0" t="s">
        <v>398</v>
      </c>
      <c r="X8" s="0" t="n">
        <v>1</v>
      </c>
      <c r="Y8" s="0" t="s">
        <v>399</v>
      </c>
      <c r="Z8" s="0" t="n">
        <v>0</v>
      </c>
      <c r="AA8" s="0" t="n">
        <v>0</v>
      </c>
      <c r="AB8" s="0" t="s">
        <v>400</v>
      </c>
      <c r="AC8" s="0" t="n">
        <v>0</v>
      </c>
      <c r="AD8" s="0" t="s">
        <v>401</v>
      </c>
      <c r="AE8" s="0" t="s">
        <v>402</v>
      </c>
      <c r="AG8" s="0" t="s">
        <v>403</v>
      </c>
    </row>
    <row r="9" customFormat="false" ht="15" hidden="false" customHeight="false" outlineLevel="0" collapsed="false">
      <c r="A9" s="0" t="s">
        <v>154</v>
      </c>
      <c r="B9" s="0" t="s">
        <v>403</v>
      </c>
      <c r="C9" s="0" t="s">
        <v>393</v>
      </c>
      <c r="D9" s="0" t="s">
        <v>156</v>
      </c>
      <c r="F9" s="0" t="n">
        <v>1</v>
      </c>
      <c r="G9" s="0" t="s">
        <v>394</v>
      </c>
      <c r="H9" s="0" t="s">
        <v>153</v>
      </c>
      <c r="I9" s="0" t="s">
        <v>395</v>
      </c>
      <c r="J9" s="0" t="s">
        <v>154</v>
      </c>
      <c r="K9" s="0" t="s">
        <v>396</v>
      </c>
      <c r="L9" s="0" t="n">
        <v>1.1839</v>
      </c>
      <c r="M9" s="0" t="s">
        <v>149</v>
      </c>
      <c r="N9" s="0" t="n">
        <v>1.275</v>
      </c>
      <c r="O9" s="0" t="n">
        <v>100.6315</v>
      </c>
      <c r="P9" s="0" t="n">
        <v>128.31</v>
      </c>
      <c r="Q9" s="0" t="s">
        <v>156</v>
      </c>
      <c r="R9" s="0" t="s">
        <v>155</v>
      </c>
      <c r="S9" s="0" t="n">
        <v>597</v>
      </c>
      <c r="T9" s="92" t="n">
        <v>0.350923</v>
      </c>
      <c r="U9" s="0" t="n">
        <v>1</v>
      </c>
      <c r="V9" s="0" t="s">
        <v>404</v>
      </c>
      <c r="W9" s="0" t="s">
        <v>398</v>
      </c>
      <c r="X9" s="0" t="n">
        <v>1</v>
      </c>
      <c r="Y9" s="0" t="s">
        <v>399</v>
      </c>
      <c r="Z9" s="0" t="n">
        <v>0</v>
      </c>
      <c r="AA9" s="0" t="n">
        <v>0</v>
      </c>
      <c r="AB9" s="0" t="s">
        <v>400</v>
      </c>
      <c r="AC9" s="0" t="n">
        <v>0</v>
      </c>
      <c r="AD9" s="0" t="s">
        <v>405</v>
      </c>
      <c r="AE9" s="0" t="s">
        <v>406</v>
      </c>
      <c r="AG9" s="0" t="s">
        <v>403</v>
      </c>
    </row>
    <row r="10" customFormat="false" ht="15" hidden="false" customHeight="false" outlineLevel="0" collapsed="false">
      <c r="A10" s="0" t="s">
        <v>283</v>
      </c>
      <c r="B10" s="0" t="s">
        <v>392</v>
      </c>
      <c r="C10" s="0" t="s">
        <v>393</v>
      </c>
      <c r="D10" s="0" t="s">
        <v>156</v>
      </c>
      <c r="F10" s="0" t="n">
        <v>1</v>
      </c>
      <c r="G10" s="0" t="s">
        <v>394</v>
      </c>
      <c r="H10" s="0" t="s">
        <v>153</v>
      </c>
      <c r="I10" s="0" t="s">
        <v>395</v>
      </c>
      <c r="J10" s="0" t="s">
        <v>154</v>
      </c>
      <c r="K10" s="0" t="s">
        <v>396</v>
      </c>
      <c r="L10" s="0" t="n">
        <v>1.1839</v>
      </c>
      <c r="M10" s="0" t="s">
        <v>149</v>
      </c>
      <c r="N10" s="0" t="n">
        <v>0.3</v>
      </c>
      <c r="O10" s="0" t="n">
        <v>100.6315</v>
      </c>
      <c r="P10" s="0" t="n">
        <v>30.19</v>
      </c>
      <c r="Q10" s="0" t="s">
        <v>156</v>
      </c>
      <c r="R10" s="0" t="s">
        <v>155</v>
      </c>
      <c r="S10" s="0" t="n">
        <v>122</v>
      </c>
      <c r="T10" s="92" t="n">
        <v>0.252654</v>
      </c>
      <c r="U10" s="0" t="n">
        <v>1</v>
      </c>
      <c r="V10" s="0" t="s">
        <v>407</v>
      </c>
      <c r="W10" s="0" t="s">
        <v>398</v>
      </c>
      <c r="X10" s="0" t="n">
        <v>1</v>
      </c>
      <c r="Y10" s="0" t="s">
        <v>399</v>
      </c>
      <c r="Z10" s="0" t="n">
        <v>0</v>
      </c>
      <c r="AA10" s="0" t="n">
        <v>0</v>
      </c>
      <c r="AB10" s="0" t="s">
        <v>400</v>
      </c>
      <c r="AC10" s="0" t="n">
        <v>0</v>
      </c>
      <c r="AD10" s="0" t="s">
        <v>408</v>
      </c>
      <c r="AE10" s="0" t="s">
        <v>409</v>
      </c>
      <c r="AG10" s="0" t="s">
        <v>392</v>
      </c>
    </row>
    <row r="11" customFormat="false" ht="15" hidden="false" customHeight="false" outlineLevel="0" collapsed="false">
      <c r="A11" s="0" t="s">
        <v>283</v>
      </c>
      <c r="B11" s="0" t="s">
        <v>403</v>
      </c>
      <c r="C11" s="0" t="s">
        <v>393</v>
      </c>
      <c r="D11" s="0" t="s">
        <v>156</v>
      </c>
      <c r="F11" s="0" t="n">
        <v>1</v>
      </c>
      <c r="G11" s="0" t="s">
        <v>394</v>
      </c>
      <c r="H11" s="0" t="s">
        <v>153</v>
      </c>
      <c r="I11" s="0" t="s">
        <v>395</v>
      </c>
      <c r="J11" s="0" t="s">
        <v>154</v>
      </c>
      <c r="K11" s="0" t="s">
        <v>396</v>
      </c>
      <c r="L11" s="0" t="n">
        <v>1.1839</v>
      </c>
      <c r="M11" s="0" t="s">
        <v>149</v>
      </c>
      <c r="N11" s="0" t="n">
        <v>0.325</v>
      </c>
      <c r="O11" s="0" t="n">
        <v>100.6315</v>
      </c>
      <c r="P11" s="0" t="n">
        <v>32.71</v>
      </c>
      <c r="Q11" s="0" t="s">
        <v>156</v>
      </c>
      <c r="R11" s="0" t="s">
        <v>155</v>
      </c>
      <c r="S11" s="0" t="n">
        <v>132</v>
      </c>
      <c r="T11" s="92" t="n">
        <v>0.25171</v>
      </c>
      <c r="U11" s="0" t="n">
        <v>1</v>
      </c>
      <c r="V11" s="0" t="s">
        <v>410</v>
      </c>
      <c r="W11" s="0" t="s">
        <v>398</v>
      </c>
      <c r="X11" s="0" t="n">
        <v>1</v>
      </c>
      <c r="Y11" s="0" t="s">
        <v>399</v>
      </c>
      <c r="Z11" s="0" t="n">
        <v>0</v>
      </c>
      <c r="AA11" s="0" t="n">
        <v>0</v>
      </c>
      <c r="AB11" s="0" t="s">
        <v>400</v>
      </c>
      <c r="AC11" s="0" t="n">
        <v>0</v>
      </c>
      <c r="AD11" s="0" t="s">
        <v>411</v>
      </c>
      <c r="AE11" s="0" t="s">
        <v>412</v>
      </c>
      <c r="AG11" s="0" t="s">
        <v>392</v>
      </c>
    </row>
    <row r="12" customFormat="false" ht="15" hidden="false" customHeight="false" outlineLevel="0" collapsed="false">
      <c r="A12" s="0" t="s">
        <v>285</v>
      </c>
      <c r="B12" s="0" t="s">
        <v>392</v>
      </c>
      <c r="C12" s="0" t="s">
        <v>393</v>
      </c>
      <c r="D12" s="0" t="s">
        <v>156</v>
      </c>
      <c r="F12" s="0" t="n">
        <v>1</v>
      </c>
      <c r="G12" s="0" t="s">
        <v>394</v>
      </c>
      <c r="H12" s="0" t="s">
        <v>153</v>
      </c>
      <c r="I12" s="0" t="s">
        <v>395</v>
      </c>
      <c r="J12" s="0" t="s">
        <v>154</v>
      </c>
      <c r="K12" s="0" t="s">
        <v>396</v>
      </c>
      <c r="L12" s="0" t="n">
        <v>1.1839</v>
      </c>
      <c r="M12" s="0" t="s">
        <v>149</v>
      </c>
      <c r="N12" s="0" t="n">
        <v>0.15</v>
      </c>
      <c r="O12" s="0" t="n">
        <v>100.6315</v>
      </c>
      <c r="P12" s="0" t="n">
        <v>15.09</v>
      </c>
      <c r="Q12" s="0" t="s">
        <v>156</v>
      </c>
      <c r="R12" s="0" t="s">
        <v>155</v>
      </c>
      <c r="S12" s="0" t="n">
        <v>66</v>
      </c>
      <c r="T12" s="92" t="n">
        <v>0.309271</v>
      </c>
      <c r="U12" s="0" t="n">
        <v>1</v>
      </c>
      <c r="V12" s="0" t="s">
        <v>413</v>
      </c>
      <c r="W12" s="0" t="s">
        <v>398</v>
      </c>
      <c r="X12" s="0" t="n">
        <v>1</v>
      </c>
      <c r="Y12" s="0" t="s">
        <v>399</v>
      </c>
      <c r="Z12" s="0" t="n">
        <v>0</v>
      </c>
      <c r="AA12" s="0" t="n">
        <v>0</v>
      </c>
      <c r="AB12" s="0" t="s">
        <v>400</v>
      </c>
      <c r="AC12" s="0" t="n">
        <v>0</v>
      </c>
      <c r="AD12" s="0" t="s">
        <v>414</v>
      </c>
      <c r="AE12" s="0" t="s">
        <v>415</v>
      </c>
      <c r="AG12" s="0" t="s">
        <v>392</v>
      </c>
    </row>
    <row r="13" customFormat="false" ht="15" hidden="false" customHeight="false" outlineLevel="0" collapsed="false">
      <c r="A13" s="0" t="s">
        <v>285</v>
      </c>
      <c r="B13" s="0" t="s">
        <v>403</v>
      </c>
      <c r="C13" s="0" t="s">
        <v>393</v>
      </c>
      <c r="D13" s="0" t="s">
        <v>156</v>
      </c>
      <c r="F13" s="0" t="n">
        <v>1</v>
      </c>
      <c r="G13" s="0" t="s">
        <v>394</v>
      </c>
      <c r="H13" s="0" t="s">
        <v>153</v>
      </c>
      <c r="I13" s="0" t="s">
        <v>395</v>
      </c>
      <c r="J13" s="0" t="s">
        <v>154</v>
      </c>
      <c r="K13" s="0" t="s">
        <v>396</v>
      </c>
      <c r="L13" s="0" t="n">
        <v>1.1839</v>
      </c>
      <c r="M13" s="0" t="s">
        <v>149</v>
      </c>
      <c r="N13" s="0" t="n">
        <v>0.175</v>
      </c>
      <c r="O13" s="0" t="n">
        <v>100.6315</v>
      </c>
      <c r="P13" s="0" t="n">
        <v>17.61</v>
      </c>
      <c r="Q13" s="0" t="s">
        <v>156</v>
      </c>
      <c r="R13" s="0" t="s">
        <v>155</v>
      </c>
      <c r="S13" s="0" t="n">
        <v>71</v>
      </c>
      <c r="T13" s="92" t="n">
        <v>0.2509</v>
      </c>
      <c r="U13" s="0" t="n">
        <v>1</v>
      </c>
      <c r="V13" s="0" t="s">
        <v>416</v>
      </c>
      <c r="W13" s="0" t="s">
        <v>398</v>
      </c>
      <c r="X13" s="0" t="n">
        <v>1</v>
      </c>
      <c r="Y13" s="0" t="s">
        <v>399</v>
      </c>
      <c r="Z13" s="0" t="n">
        <v>0</v>
      </c>
      <c r="AA13" s="0" t="n">
        <v>0</v>
      </c>
      <c r="AB13" s="0" t="s">
        <v>400</v>
      </c>
      <c r="AC13" s="0" t="n">
        <v>0</v>
      </c>
      <c r="AD13" s="0" t="s">
        <v>417</v>
      </c>
      <c r="AE13" s="0" t="s">
        <v>418</v>
      </c>
      <c r="AG13" s="0" t="s">
        <v>392</v>
      </c>
    </row>
    <row r="14" customFormat="false" ht="15" hidden="false" customHeight="false" outlineLevel="0" collapsed="false">
      <c r="A14" s="0" t="s">
        <v>165</v>
      </c>
      <c r="B14" s="0" t="s">
        <v>419</v>
      </c>
      <c r="C14" s="0" t="s">
        <v>393</v>
      </c>
      <c r="D14" s="0" t="s">
        <v>420</v>
      </c>
      <c r="F14" s="0" t="n">
        <v>1</v>
      </c>
      <c r="G14" s="0" t="s">
        <v>394</v>
      </c>
      <c r="H14" s="0" t="s">
        <v>153</v>
      </c>
      <c r="I14" s="0" t="s">
        <v>421</v>
      </c>
      <c r="J14" s="0" t="s">
        <v>165</v>
      </c>
      <c r="K14" s="0" t="s">
        <v>396</v>
      </c>
      <c r="L14" s="0" t="n">
        <v>1.1839</v>
      </c>
      <c r="M14" s="0" t="s">
        <v>422</v>
      </c>
      <c r="N14" s="0" t="n">
        <v>1.04</v>
      </c>
      <c r="O14" s="0" t="n">
        <v>100.6315</v>
      </c>
      <c r="P14" s="0" t="n">
        <v>523.28</v>
      </c>
      <c r="Q14" s="0" t="s">
        <v>156</v>
      </c>
      <c r="R14" s="0" t="s">
        <v>166</v>
      </c>
      <c r="S14" s="0" t="n">
        <v>2108</v>
      </c>
      <c r="T14" s="92" t="n">
        <v>0.25029</v>
      </c>
      <c r="U14" s="0" t="n">
        <v>1</v>
      </c>
      <c r="V14" s="0" t="s">
        <v>423</v>
      </c>
      <c r="W14" s="0" t="s">
        <v>398</v>
      </c>
      <c r="X14" s="0" t="n">
        <v>5</v>
      </c>
      <c r="Y14" s="0" t="s">
        <v>399</v>
      </c>
      <c r="Z14" s="0" t="n">
        <v>0</v>
      </c>
      <c r="AA14" s="0" t="n">
        <v>0</v>
      </c>
      <c r="AB14" s="0" t="s">
        <v>400</v>
      </c>
      <c r="AC14" s="0" t="n">
        <v>0</v>
      </c>
      <c r="AD14" s="0" t="s">
        <v>424</v>
      </c>
      <c r="AE14" s="0" t="s">
        <v>425</v>
      </c>
      <c r="AG14" s="0" t="s">
        <v>426</v>
      </c>
    </row>
    <row r="15" customFormat="false" ht="15" hidden="false" customHeight="false" outlineLevel="0" collapsed="false">
      <c r="A15" s="0" t="s">
        <v>165</v>
      </c>
      <c r="B15" s="0" t="s">
        <v>403</v>
      </c>
      <c r="C15" s="0" t="s">
        <v>393</v>
      </c>
      <c r="D15" s="0" t="s">
        <v>420</v>
      </c>
      <c r="F15" s="0" t="n">
        <v>1</v>
      </c>
      <c r="G15" s="0" t="s">
        <v>394</v>
      </c>
      <c r="H15" s="0" t="s">
        <v>168</v>
      </c>
      <c r="I15" s="0" t="s">
        <v>421</v>
      </c>
      <c r="J15" s="0" t="s">
        <v>165</v>
      </c>
      <c r="K15" s="0" t="s">
        <v>168</v>
      </c>
      <c r="L15" s="0" t="n">
        <v>1.2492</v>
      </c>
      <c r="M15" s="0" t="s">
        <v>422</v>
      </c>
      <c r="N15" s="0" t="n">
        <v>0.34</v>
      </c>
      <c r="O15" s="0" t="n">
        <v>106.182</v>
      </c>
      <c r="P15" s="0" t="n">
        <v>180.51</v>
      </c>
      <c r="Q15" s="0" t="s">
        <v>156</v>
      </c>
      <c r="R15" s="0" t="s">
        <v>170</v>
      </c>
      <c r="S15" s="0" t="n">
        <v>775</v>
      </c>
      <c r="T15" s="92" t="n">
        <v>0.296564</v>
      </c>
      <c r="U15" s="0" t="n">
        <v>2</v>
      </c>
      <c r="V15" s="0" t="s">
        <v>427</v>
      </c>
      <c r="W15" s="0" t="s">
        <v>398</v>
      </c>
      <c r="X15" s="0" t="n">
        <v>5</v>
      </c>
      <c r="Y15" s="0" t="s">
        <v>399</v>
      </c>
      <c r="Z15" s="0" t="n">
        <v>0</v>
      </c>
      <c r="AA15" s="0" t="n">
        <v>0</v>
      </c>
      <c r="AB15" s="0" t="s">
        <v>400</v>
      </c>
      <c r="AC15" s="0" t="n">
        <v>0</v>
      </c>
      <c r="AD15" s="0" t="s">
        <v>428</v>
      </c>
      <c r="AE15" s="0" t="s">
        <v>429</v>
      </c>
      <c r="AG15" s="0" t="s">
        <v>426</v>
      </c>
    </row>
    <row r="16" customFormat="false" ht="15" hidden="false" customHeight="false" outlineLevel="0" collapsed="false">
      <c r="A16" s="0" t="s">
        <v>165</v>
      </c>
      <c r="B16" s="0" t="s">
        <v>403</v>
      </c>
      <c r="C16" s="0" t="s">
        <v>393</v>
      </c>
      <c r="D16" s="0" t="s">
        <v>420</v>
      </c>
      <c r="F16" s="0" t="n">
        <v>2</v>
      </c>
      <c r="G16" s="0" t="s">
        <v>430</v>
      </c>
      <c r="H16" s="0" t="s">
        <v>153</v>
      </c>
      <c r="I16" s="0" t="s">
        <v>421</v>
      </c>
      <c r="J16" s="0" t="s">
        <v>165</v>
      </c>
      <c r="K16" s="0" t="s">
        <v>396</v>
      </c>
      <c r="L16" s="0" t="n">
        <v>1.1839</v>
      </c>
      <c r="M16" s="0" t="s">
        <v>422</v>
      </c>
      <c r="N16" s="0" t="n">
        <v>0.51</v>
      </c>
      <c r="O16" s="0" t="n">
        <v>100.6315</v>
      </c>
      <c r="P16" s="0" t="n">
        <v>256.61</v>
      </c>
      <c r="Q16" s="0" t="s">
        <v>156</v>
      </c>
      <c r="R16" s="0" t="s">
        <v>170</v>
      </c>
      <c r="S16" s="0" t="n">
        <v>775</v>
      </c>
      <c r="T16" s="92" t="n">
        <v>3E-006</v>
      </c>
      <c r="U16" s="0" t="n">
        <v>2</v>
      </c>
      <c r="V16" s="0" t="s">
        <v>427</v>
      </c>
      <c r="W16" s="0" t="s">
        <v>398</v>
      </c>
      <c r="X16" s="0" t="n">
        <v>5</v>
      </c>
      <c r="Y16" s="0" t="s">
        <v>399</v>
      </c>
      <c r="Z16" s="0" t="n">
        <v>0</v>
      </c>
      <c r="AA16" s="0" t="n">
        <v>0</v>
      </c>
      <c r="AB16" s="0" t="s">
        <v>400</v>
      </c>
      <c r="AC16" s="0" t="n">
        <v>0</v>
      </c>
      <c r="AD16" s="0" t="s">
        <v>428</v>
      </c>
      <c r="AE16" s="0" t="s">
        <v>431</v>
      </c>
      <c r="AG16" s="0" t="s">
        <v>426</v>
      </c>
    </row>
    <row r="17" customFormat="false" ht="15" hidden="false" customHeight="false" outlineLevel="0" collapsed="false">
      <c r="A17" s="0" t="s">
        <v>165</v>
      </c>
      <c r="B17" s="0" t="s">
        <v>392</v>
      </c>
      <c r="C17" s="0" t="s">
        <v>393</v>
      </c>
      <c r="D17" s="0" t="s">
        <v>420</v>
      </c>
      <c r="F17" s="0" t="n">
        <v>1</v>
      </c>
      <c r="G17" s="0" t="s">
        <v>394</v>
      </c>
      <c r="H17" s="0" t="s">
        <v>168</v>
      </c>
      <c r="I17" s="0" t="s">
        <v>421</v>
      </c>
      <c r="J17" s="0" t="s">
        <v>165</v>
      </c>
      <c r="K17" s="0" t="s">
        <v>168</v>
      </c>
      <c r="L17" s="0" t="n">
        <v>1.2492</v>
      </c>
      <c r="M17" s="0" t="s">
        <v>422</v>
      </c>
      <c r="N17" s="0" t="n">
        <v>0.151</v>
      </c>
      <c r="O17" s="0" t="n">
        <v>106.182</v>
      </c>
      <c r="P17" s="0" t="n">
        <v>80.17</v>
      </c>
      <c r="Q17" s="0" t="s">
        <v>156</v>
      </c>
      <c r="R17" s="0" t="s">
        <v>170</v>
      </c>
      <c r="S17" s="0" t="n">
        <v>323</v>
      </c>
      <c r="T17" s="92" t="n">
        <v>0.250414</v>
      </c>
      <c r="U17" s="0" t="n">
        <v>2</v>
      </c>
      <c r="V17" s="0" t="s">
        <v>432</v>
      </c>
      <c r="W17" s="0" t="s">
        <v>398</v>
      </c>
      <c r="X17" s="0" t="n">
        <v>5</v>
      </c>
      <c r="Y17" s="0" t="s">
        <v>399</v>
      </c>
      <c r="Z17" s="0" t="n">
        <v>0</v>
      </c>
      <c r="AA17" s="0" t="n">
        <v>0</v>
      </c>
      <c r="AB17" s="0" t="s">
        <v>400</v>
      </c>
      <c r="AC17" s="0" t="n">
        <v>0</v>
      </c>
      <c r="AD17" s="0" t="s">
        <v>433</v>
      </c>
      <c r="AE17" s="0" t="s">
        <v>434</v>
      </c>
      <c r="AG17" s="0" t="s">
        <v>426</v>
      </c>
    </row>
    <row r="18" customFormat="false" ht="15" hidden="false" customHeight="false" outlineLevel="0" collapsed="false">
      <c r="A18" s="0" t="s">
        <v>165</v>
      </c>
      <c r="B18" s="0" t="s">
        <v>392</v>
      </c>
      <c r="C18" s="0" t="s">
        <v>393</v>
      </c>
      <c r="D18" s="0" t="s">
        <v>420</v>
      </c>
      <c r="F18" s="0" t="n">
        <v>2</v>
      </c>
      <c r="G18" s="0" t="s">
        <v>430</v>
      </c>
      <c r="H18" s="0" t="s">
        <v>153</v>
      </c>
      <c r="I18" s="0" t="s">
        <v>421</v>
      </c>
      <c r="J18" s="0" t="s">
        <v>165</v>
      </c>
      <c r="K18" s="0" t="s">
        <v>396</v>
      </c>
      <c r="L18" s="0" t="n">
        <v>1.1839</v>
      </c>
      <c r="M18" s="0" t="s">
        <v>422</v>
      </c>
      <c r="N18" s="0" t="n">
        <v>0.205</v>
      </c>
      <c r="O18" s="0" t="n">
        <v>100.6315</v>
      </c>
      <c r="P18" s="0" t="n">
        <v>103.15</v>
      </c>
      <c r="Q18" s="0" t="s">
        <v>156</v>
      </c>
      <c r="R18" s="0" t="s">
        <v>170</v>
      </c>
      <c r="S18" s="0" t="n">
        <v>323</v>
      </c>
      <c r="T18" s="92" t="n">
        <v>0.035546</v>
      </c>
      <c r="U18" s="0" t="n">
        <v>2</v>
      </c>
      <c r="V18" s="0" t="s">
        <v>432</v>
      </c>
      <c r="W18" s="0" t="s">
        <v>398</v>
      </c>
      <c r="X18" s="0" t="n">
        <v>5</v>
      </c>
      <c r="Y18" s="0" t="s">
        <v>399</v>
      </c>
      <c r="Z18" s="0" t="n">
        <v>0</v>
      </c>
      <c r="AA18" s="0" t="n">
        <v>0</v>
      </c>
      <c r="AB18" s="0" t="s">
        <v>400</v>
      </c>
      <c r="AC18" s="0" t="n">
        <v>0</v>
      </c>
      <c r="AD18" s="0" t="s">
        <v>433</v>
      </c>
      <c r="AE18" s="0" t="s">
        <v>435</v>
      </c>
      <c r="AG18" s="0" t="s">
        <v>426</v>
      </c>
    </row>
    <row r="19" customFormat="false" ht="15" hidden="false" customHeight="false" outlineLevel="0" collapsed="false">
      <c r="A19" s="0" t="s">
        <v>165</v>
      </c>
      <c r="B19" s="0" t="s">
        <v>426</v>
      </c>
      <c r="C19" s="0" t="s">
        <v>393</v>
      </c>
      <c r="D19" s="0" t="s">
        <v>420</v>
      </c>
      <c r="F19" s="0" t="n">
        <v>1</v>
      </c>
      <c r="G19" s="0" t="s">
        <v>394</v>
      </c>
      <c r="H19" s="0" t="s">
        <v>168</v>
      </c>
      <c r="I19" s="0" t="s">
        <v>421</v>
      </c>
      <c r="J19" s="0" t="s">
        <v>165</v>
      </c>
      <c r="K19" s="0" t="s">
        <v>168</v>
      </c>
      <c r="L19" s="0" t="n">
        <v>1.2492</v>
      </c>
      <c r="M19" s="0" t="s">
        <v>422</v>
      </c>
      <c r="N19" s="0" t="n">
        <v>0.067</v>
      </c>
      <c r="O19" s="0" t="n">
        <v>106.182</v>
      </c>
      <c r="P19" s="0" t="n">
        <v>35.57</v>
      </c>
      <c r="Q19" s="0" t="s">
        <v>156</v>
      </c>
      <c r="R19" s="0" t="s">
        <v>170</v>
      </c>
      <c r="S19" s="0" t="n">
        <v>145</v>
      </c>
      <c r="T19" s="92" t="n">
        <v>0.259109</v>
      </c>
      <c r="U19" s="0" t="n">
        <v>2</v>
      </c>
      <c r="V19" s="0" t="s">
        <v>436</v>
      </c>
      <c r="W19" s="0" t="s">
        <v>398</v>
      </c>
      <c r="X19" s="0" t="n">
        <v>5</v>
      </c>
      <c r="Y19" s="0" t="s">
        <v>399</v>
      </c>
      <c r="Z19" s="0" t="n">
        <v>0</v>
      </c>
      <c r="AA19" s="0" t="n">
        <v>0</v>
      </c>
      <c r="AB19" s="0" t="s">
        <v>400</v>
      </c>
      <c r="AC19" s="0" t="n">
        <v>0</v>
      </c>
      <c r="AD19" s="0" t="s">
        <v>437</v>
      </c>
      <c r="AE19" s="0" t="s">
        <v>438</v>
      </c>
      <c r="AG19" s="0" t="s">
        <v>426</v>
      </c>
    </row>
    <row r="20" customFormat="false" ht="15" hidden="false" customHeight="false" outlineLevel="0" collapsed="false">
      <c r="A20" s="0" t="s">
        <v>165</v>
      </c>
      <c r="B20" s="0" t="s">
        <v>426</v>
      </c>
      <c r="C20" s="0" t="s">
        <v>393</v>
      </c>
      <c r="D20" s="0" t="s">
        <v>420</v>
      </c>
      <c r="F20" s="0" t="n">
        <v>2</v>
      </c>
      <c r="G20" s="0" t="s">
        <v>430</v>
      </c>
      <c r="H20" s="0" t="s">
        <v>153</v>
      </c>
      <c r="I20" s="0" t="s">
        <v>421</v>
      </c>
      <c r="J20" s="0" t="s">
        <v>165</v>
      </c>
      <c r="K20" s="0" t="s">
        <v>396</v>
      </c>
      <c r="L20" s="0" t="n">
        <v>1.1839</v>
      </c>
      <c r="M20" s="0" t="s">
        <v>422</v>
      </c>
      <c r="N20" s="0" t="n">
        <v>0.095</v>
      </c>
      <c r="O20" s="0" t="n">
        <v>100.6315</v>
      </c>
      <c r="P20" s="0" t="n">
        <v>47.8</v>
      </c>
      <c r="Q20" s="0" t="s">
        <v>156</v>
      </c>
      <c r="R20" s="0" t="s">
        <v>170</v>
      </c>
      <c r="S20" s="0" t="n">
        <v>145</v>
      </c>
      <c r="T20" s="92" t="n">
        <v>0.004398</v>
      </c>
      <c r="U20" s="0" t="n">
        <v>2</v>
      </c>
      <c r="V20" s="0" t="s">
        <v>436</v>
      </c>
      <c r="W20" s="0" t="s">
        <v>398</v>
      </c>
      <c r="X20" s="0" t="n">
        <v>5</v>
      </c>
      <c r="Y20" s="0" t="s">
        <v>399</v>
      </c>
      <c r="Z20" s="0" t="n">
        <v>0</v>
      </c>
      <c r="AA20" s="0" t="n">
        <v>0</v>
      </c>
      <c r="AB20" s="0" t="s">
        <v>400</v>
      </c>
      <c r="AC20" s="0" t="n">
        <v>0</v>
      </c>
      <c r="AD20" s="0" t="s">
        <v>437</v>
      </c>
      <c r="AE20" s="0" t="s">
        <v>439</v>
      </c>
      <c r="AG20" s="0" t="s">
        <v>426</v>
      </c>
    </row>
    <row r="21" customFormat="false" ht="15" hidden="false" customHeight="false" outlineLevel="0" collapsed="false">
      <c r="A21" s="0" t="s">
        <v>440</v>
      </c>
      <c r="B21" s="0" t="s">
        <v>392</v>
      </c>
      <c r="C21" s="0" t="s">
        <v>393</v>
      </c>
      <c r="D21" s="0" t="s">
        <v>420</v>
      </c>
      <c r="F21" s="0" t="n">
        <v>1</v>
      </c>
      <c r="G21" s="0" t="s">
        <v>394</v>
      </c>
      <c r="H21" s="0" t="s">
        <v>168</v>
      </c>
      <c r="I21" s="0" t="s">
        <v>421</v>
      </c>
      <c r="J21" s="0" t="s">
        <v>165</v>
      </c>
      <c r="K21" s="0" t="s">
        <v>168</v>
      </c>
      <c r="L21" s="0" t="n">
        <v>1.2492</v>
      </c>
      <c r="M21" s="0" t="s">
        <v>422</v>
      </c>
      <c r="N21" s="0" t="n">
        <v>0.121</v>
      </c>
      <c r="O21" s="0" t="n">
        <v>106.182</v>
      </c>
      <c r="P21" s="0" t="n">
        <v>64.24</v>
      </c>
      <c r="Q21" s="0" t="s">
        <v>156</v>
      </c>
      <c r="R21" s="0" t="s">
        <v>170</v>
      </c>
      <c r="S21" s="0" t="n">
        <v>259</v>
      </c>
      <c r="T21" s="92" t="n">
        <v>0.250912</v>
      </c>
      <c r="U21" s="0" t="n">
        <v>2</v>
      </c>
      <c r="V21" s="0" t="s">
        <v>441</v>
      </c>
      <c r="W21" s="0" t="s">
        <v>398</v>
      </c>
      <c r="X21" s="0" t="n">
        <v>5</v>
      </c>
      <c r="Y21" s="0" t="s">
        <v>399</v>
      </c>
      <c r="Z21" s="0" t="n">
        <v>0</v>
      </c>
      <c r="AA21" s="0" t="n">
        <v>0</v>
      </c>
      <c r="AB21" s="0" t="s">
        <v>400</v>
      </c>
      <c r="AC21" s="0" t="n">
        <v>0</v>
      </c>
      <c r="AD21" s="0" t="s">
        <v>442</v>
      </c>
      <c r="AE21" s="0" t="s">
        <v>443</v>
      </c>
      <c r="AG21" s="0" t="s">
        <v>426</v>
      </c>
    </row>
    <row r="22" customFormat="false" ht="15" hidden="false" customHeight="false" outlineLevel="0" collapsed="false">
      <c r="A22" s="0" t="s">
        <v>440</v>
      </c>
      <c r="B22" s="0" t="s">
        <v>392</v>
      </c>
      <c r="C22" s="0" t="s">
        <v>393</v>
      </c>
      <c r="D22" s="0" t="s">
        <v>420</v>
      </c>
      <c r="F22" s="0" t="n">
        <v>2</v>
      </c>
      <c r="G22" s="0" t="s">
        <v>430</v>
      </c>
      <c r="H22" s="0" t="s">
        <v>153</v>
      </c>
      <c r="I22" s="0" t="s">
        <v>421</v>
      </c>
      <c r="J22" s="0" t="s">
        <v>165</v>
      </c>
      <c r="K22" s="0" t="s">
        <v>396</v>
      </c>
      <c r="L22" s="0" t="n">
        <v>1.1839</v>
      </c>
      <c r="M22" s="0" t="s">
        <v>422</v>
      </c>
      <c r="N22" s="0" t="n">
        <v>0.165</v>
      </c>
      <c r="O22" s="0" t="n">
        <v>100.6315</v>
      </c>
      <c r="P22" s="0" t="n">
        <v>83.02</v>
      </c>
      <c r="Q22" s="0" t="s">
        <v>156</v>
      </c>
      <c r="R22" s="0" t="s">
        <v>170</v>
      </c>
      <c r="S22" s="0" t="n">
        <v>259</v>
      </c>
      <c r="T22" s="92" t="n">
        <v>0.031913</v>
      </c>
      <c r="U22" s="0" t="n">
        <v>2</v>
      </c>
      <c r="V22" s="0" t="s">
        <v>441</v>
      </c>
      <c r="W22" s="0" t="s">
        <v>398</v>
      </c>
      <c r="X22" s="0" t="n">
        <v>5</v>
      </c>
      <c r="Y22" s="0" t="s">
        <v>399</v>
      </c>
      <c r="Z22" s="0" t="n">
        <v>0</v>
      </c>
      <c r="AA22" s="0" t="n">
        <v>0</v>
      </c>
      <c r="AB22" s="0" t="s">
        <v>400</v>
      </c>
      <c r="AC22" s="0" t="n">
        <v>0</v>
      </c>
      <c r="AD22" s="0" t="s">
        <v>442</v>
      </c>
      <c r="AE22" s="0" t="s">
        <v>444</v>
      </c>
      <c r="AG22" s="0" t="s">
        <v>426</v>
      </c>
    </row>
    <row r="23" customFormat="false" ht="15" hidden="false" customHeight="false" outlineLevel="0" collapsed="false">
      <c r="A23" s="0" t="s">
        <v>440</v>
      </c>
      <c r="B23" s="0" t="s">
        <v>426</v>
      </c>
      <c r="C23" s="0" t="s">
        <v>393</v>
      </c>
      <c r="D23" s="0" t="s">
        <v>420</v>
      </c>
      <c r="F23" s="0" t="n">
        <v>1</v>
      </c>
      <c r="G23" s="0" t="s">
        <v>394</v>
      </c>
      <c r="H23" s="0" t="s">
        <v>168</v>
      </c>
      <c r="I23" s="0" t="s">
        <v>421</v>
      </c>
      <c r="J23" s="0" t="s">
        <v>165</v>
      </c>
      <c r="K23" s="0" t="s">
        <v>168</v>
      </c>
      <c r="L23" s="0" t="n">
        <v>1.2492</v>
      </c>
      <c r="M23" s="0" t="s">
        <v>422</v>
      </c>
      <c r="N23" s="0" t="n">
        <v>0.0538</v>
      </c>
      <c r="O23" s="0" t="n">
        <v>106.182</v>
      </c>
      <c r="P23" s="0" t="n">
        <v>28.56</v>
      </c>
      <c r="Q23" s="0" t="s">
        <v>156</v>
      </c>
      <c r="R23" s="0" t="s">
        <v>170</v>
      </c>
      <c r="S23" s="0" t="n">
        <v>118</v>
      </c>
      <c r="T23" s="92" t="n">
        <v>0.268949</v>
      </c>
      <c r="U23" s="0" t="n">
        <v>2</v>
      </c>
      <c r="V23" s="0" t="s">
        <v>445</v>
      </c>
      <c r="W23" s="0" t="s">
        <v>398</v>
      </c>
      <c r="X23" s="0" t="n">
        <v>5</v>
      </c>
      <c r="Y23" s="0" t="s">
        <v>399</v>
      </c>
      <c r="Z23" s="0" t="n">
        <v>0</v>
      </c>
      <c r="AA23" s="0" t="n">
        <v>0</v>
      </c>
      <c r="AB23" s="0" t="s">
        <v>400</v>
      </c>
      <c r="AC23" s="0" t="n">
        <v>0</v>
      </c>
      <c r="AD23" s="0" t="s">
        <v>446</v>
      </c>
      <c r="AE23" s="0" t="s">
        <v>447</v>
      </c>
      <c r="AG23" s="0" t="s">
        <v>426</v>
      </c>
    </row>
    <row r="24" customFormat="false" ht="15" hidden="false" customHeight="false" outlineLevel="0" collapsed="false">
      <c r="A24" s="0" t="s">
        <v>440</v>
      </c>
      <c r="B24" s="0" t="s">
        <v>426</v>
      </c>
      <c r="C24" s="0" t="s">
        <v>393</v>
      </c>
      <c r="D24" s="0" t="s">
        <v>420</v>
      </c>
      <c r="F24" s="0" t="n">
        <v>2</v>
      </c>
      <c r="G24" s="0" t="s">
        <v>430</v>
      </c>
      <c r="H24" s="0" t="s">
        <v>153</v>
      </c>
      <c r="I24" s="0" t="s">
        <v>421</v>
      </c>
      <c r="J24" s="0" t="s">
        <v>165</v>
      </c>
      <c r="K24" s="0" t="s">
        <v>396</v>
      </c>
      <c r="L24" s="0" t="n">
        <v>1.1839</v>
      </c>
      <c r="M24" s="0" t="s">
        <v>422</v>
      </c>
      <c r="N24" s="0" t="n">
        <v>0.0775</v>
      </c>
      <c r="O24" s="0" t="n">
        <v>100.6315</v>
      </c>
      <c r="P24" s="0" t="n">
        <v>38.99</v>
      </c>
      <c r="Q24" s="0" t="s">
        <v>156</v>
      </c>
      <c r="R24" s="0" t="s">
        <v>170</v>
      </c>
      <c r="S24" s="0" t="n">
        <v>118</v>
      </c>
      <c r="T24" s="92" t="n">
        <v>0.001955</v>
      </c>
      <c r="U24" s="0" t="n">
        <v>2</v>
      </c>
      <c r="V24" s="0" t="s">
        <v>445</v>
      </c>
      <c r="W24" s="0" t="s">
        <v>398</v>
      </c>
      <c r="X24" s="0" t="n">
        <v>5</v>
      </c>
      <c r="Y24" s="0" t="s">
        <v>399</v>
      </c>
      <c r="Z24" s="0" t="n">
        <v>0</v>
      </c>
      <c r="AA24" s="0" t="n">
        <v>0</v>
      </c>
      <c r="AB24" s="0" t="s">
        <v>400</v>
      </c>
      <c r="AC24" s="0" t="n">
        <v>0</v>
      </c>
      <c r="AD24" s="0" t="s">
        <v>446</v>
      </c>
      <c r="AE24" s="0" t="s">
        <v>448</v>
      </c>
      <c r="AG24" s="0" t="s">
        <v>426</v>
      </c>
    </row>
    <row r="25" customFormat="false" ht="15" hidden="false" customHeight="false" outlineLevel="0" collapsed="false">
      <c r="A25" s="0" t="s">
        <v>449</v>
      </c>
      <c r="B25" s="0" t="s">
        <v>392</v>
      </c>
      <c r="C25" s="0" t="s">
        <v>393</v>
      </c>
      <c r="D25" s="0" t="s">
        <v>420</v>
      </c>
      <c r="F25" s="0" t="n">
        <v>1</v>
      </c>
      <c r="G25" s="0" t="s">
        <v>394</v>
      </c>
      <c r="H25" s="0" t="s">
        <v>168</v>
      </c>
      <c r="I25" s="0" t="s">
        <v>450</v>
      </c>
      <c r="J25" s="0" t="s">
        <v>177</v>
      </c>
      <c r="K25" s="0" t="s">
        <v>168</v>
      </c>
      <c r="L25" s="0" t="n">
        <v>1.2492</v>
      </c>
      <c r="M25" s="0" t="s">
        <v>422</v>
      </c>
      <c r="N25" s="0" t="n">
        <v>0.0988</v>
      </c>
      <c r="O25" s="0" t="n">
        <v>106.182</v>
      </c>
      <c r="P25" s="0" t="n">
        <v>52.45</v>
      </c>
      <c r="Q25" s="0" t="s">
        <v>156</v>
      </c>
      <c r="R25" s="0" t="s">
        <v>170</v>
      </c>
      <c r="S25" s="0" t="n">
        <v>212</v>
      </c>
      <c r="T25" s="92" t="n">
        <v>0.252746</v>
      </c>
      <c r="U25" s="0" t="n">
        <v>2</v>
      </c>
      <c r="V25" s="0" t="s">
        <v>451</v>
      </c>
      <c r="W25" s="0" t="s">
        <v>398</v>
      </c>
      <c r="X25" s="0" t="n">
        <v>5</v>
      </c>
      <c r="Y25" s="0" t="s">
        <v>399</v>
      </c>
      <c r="Z25" s="0" t="n">
        <v>0</v>
      </c>
      <c r="AA25" s="0" t="n">
        <v>0</v>
      </c>
      <c r="AB25" s="0" t="s">
        <v>400</v>
      </c>
      <c r="AC25" s="0" t="n">
        <v>0</v>
      </c>
      <c r="AD25" s="0" t="s">
        <v>452</v>
      </c>
      <c r="AE25" s="0" t="s">
        <v>453</v>
      </c>
      <c r="AG25" s="0" t="s">
        <v>392</v>
      </c>
    </row>
    <row r="26" customFormat="false" ht="15" hidden="false" customHeight="false" outlineLevel="0" collapsed="false">
      <c r="A26" s="0" t="s">
        <v>449</v>
      </c>
      <c r="B26" s="0" t="s">
        <v>392</v>
      </c>
      <c r="C26" s="0" t="s">
        <v>393</v>
      </c>
      <c r="D26" s="0" t="s">
        <v>420</v>
      </c>
      <c r="F26" s="0" t="n">
        <v>2</v>
      </c>
      <c r="G26" s="0" t="s">
        <v>430</v>
      </c>
      <c r="H26" s="0" t="s">
        <v>153</v>
      </c>
      <c r="I26" s="0" t="s">
        <v>450</v>
      </c>
      <c r="J26" s="0" t="s">
        <v>177</v>
      </c>
      <c r="K26" s="0" t="s">
        <v>396</v>
      </c>
      <c r="L26" s="0" t="n">
        <v>1.1839</v>
      </c>
      <c r="M26" s="0" t="s">
        <v>422</v>
      </c>
      <c r="N26" s="0" t="n">
        <v>0.1125</v>
      </c>
      <c r="O26" s="0" t="n">
        <v>100.6315</v>
      </c>
      <c r="P26" s="0" t="n">
        <v>56.61</v>
      </c>
      <c r="Q26" s="0" t="s">
        <v>156</v>
      </c>
      <c r="R26" s="0" t="s">
        <v>170</v>
      </c>
      <c r="S26" s="0" t="n">
        <v>212</v>
      </c>
      <c r="T26" s="92" t="n">
        <v>0.193607</v>
      </c>
      <c r="U26" s="0" t="n">
        <v>2</v>
      </c>
      <c r="V26" s="0" t="s">
        <v>451</v>
      </c>
      <c r="W26" s="0" t="s">
        <v>398</v>
      </c>
      <c r="X26" s="0" t="n">
        <v>5</v>
      </c>
      <c r="Y26" s="0" t="s">
        <v>399</v>
      </c>
      <c r="Z26" s="0" t="n">
        <v>0</v>
      </c>
      <c r="AA26" s="0" t="n">
        <v>0</v>
      </c>
      <c r="AB26" s="0" t="s">
        <v>400</v>
      </c>
      <c r="AC26" s="0" t="n">
        <v>0</v>
      </c>
      <c r="AD26" s="0" t="s">
        <v>452</v>
      </c>
      <c r="AE26" s="0" t="s">
        <v>454</v>
      </c>
      <c r="AG26" s="0" t="s">
        <v>392</v>
      </c>
    </row>
    <row r="27" customFormat="false" ht="15" hidden="false" customHeight="false" outlineLevel="0" collapsed="false">
      <c r="A27" s="0" t="s">
        <v>449</v>
      </c>
      <c r="B27" s="0" t="s">
        <v>403</v>
      </c>
      <c r="C27" s="0" t="s">
        <v>393</v>
      </c>
      <c r="D27" s="0" t="s">
        <v>420</v>
      </c>
      <c r="F27" s="0" t="n">
        <v>1</v>
      </c>
      <c r="G27" s="0" t="s">
        <v>394</v>
      </c>
      <c r="H27" s="0" t="s">
        <v>168</v>
      </c>
      <c r="I27" s="0" t="s">
        <v>450</v>
      </c>
      <c r="J27" s="0" t="s">
        <v>177</v>
      </c>
      <c r="K27" s="0" t="s">
        <v>168</v>
      </c>
      <c r="L27" s="0" t="n">
        <v>1.2492</v>
      </c>
      <c r="M27" s="0" t="s">
        <v>422</v>
      </c>
      <c r="N27" s="0" t="n">
        <v>0.1278</v>
      </c>
      <c r="O27" s="0" t="n">
        <v>106.182</v>
      </c>
      <c r="P27" s="0" t="n">
        <v>67.85</v>
      </c>
      <c r="Q27" s="0" t="s">
        <v>156</v>
      </c>
      <c r="R27" s="0" t="s">
        <v>170</v>
      </c>
      <c r="S27" s="0" t="n">
        <v>274</v>
      </c>
      <c r="T27" s="92" t="n">
        <v>0.252127</v>
      </c>
      <c r="U27" s="0" t="n">
        <v>2</v>
      </c>
      <c r="V27" s="0" t="s">
        <v>455</v>
      </c>
      <c r="W27" s="0" t="s">
        <v>398</v>
      </c>
      <c r="X27" s="0" t="n">
        <v>5</v>
      </c>
      <c r="Y27" s="0" t="s">
        <v>399</v>
      </c>
      <c r="Z27" s="0" t="n">
        <v>0</v>
      </c>
      <c r="AA27" s="0" t="n">
        <v>0</v>
      </c>
      <c r="AB27" s="0" t="s">
        <v>400</v>
      </c>
      <c r="AC27" s="0" t="n">
        <v>0</v>
      </c>
      <c r="AD27" s="0" t="s">
        <v>456</v>
      </c>
      <c r="AE27" s="0" t="s">
        <v>457</v>
      </c>
      <c r="AG27" s="0" t="s">
        <v>392</v>
      </c>
    </row>
    <row r="28" customFormat="false" ht="15" hidden="false" customHeight="false" outlineLevel="0" collapsed="false">
      <c r="A28" s="0" t="s">
        <v>449</v>
      </c>
      <c r="B28" s="0" t="s">
        <v>403</v>
      </c>
      <c r="C28" s="0" t="s">
        <v>393</v>
      </c>
      <c r="D28" s="0" t="s">
        <v>420</v>
      </c>
      <c r="F28" s="0" t="n">
        <v>2</v>
      </c>
      <c r="G28" s="0" t="s">
        <v>430</v>
      </c>
      <c r="H28" s="0" t="s">
        <v>153</v>
      </c>
      <c r="I28" s="0" t="s">
        <v>450</v>
      </c>
      <c r="J28" s="0" t="s">
        <v>177</v>
      </c>
      <c r="K28" s="0" t="s">
        <v>396</v>
      </c>
      <c r="L28" s="0" t="n">
        <v>1.1839</v>
      </c>
      <c r="M28" s="0" t="s">
        <v>422</v>
      </c>
      <c r="N28" s="0" t="n">
        <v>0.145</v>
      </c>
      <c r="O28" s="0" t="n">
        <v>100.6315</v>
      </c>
      <c r="P28" s="0" t="n">
        <v>72.96</v>
      </c>
      <c r="Q28" s="0" t="s">
        <v>156</v>
      </c>
      <c r="R28" s="0" t="s">
        <v>170</v>
      </c>
      <c r="S28" s="0" t="n">
        <v>274</v>
      </c>
      <c r="T28" s="92" t="n">
        <v>0.19583</v>
      </c>
      <c r="U28" s="0" t="n">
        <v>2</v>
      </c>
      <c r="V28" s="0" t="s">
        <v>455</v>
      </c>
      <c r="W28" s="0" t="s">
        <v>398</v>
      </c>
      <c r="X28" s="0" t="n">
        <v>5</v>
      </c>
      <c r="Y28" s="0" t="s">
        <v>399</v>
      </c>
      <c r="Z28" s="0" t="n">
        <v>0</v>
      </c>
      <c r="AA28" s="0" t="n">
        <v>0</v>
      </c>
      <c r="AB28" s="0" t="s">
        <v>400</v>
      </c>
      <c r="AC28" s="0" t="n">
        <v>0</v>
      </c>
      <c r="AD28" s="0" t="s">
        <v>456</v>
      </c>
      <c r="AE28" s="0" t="s">
        <v>458</v>
      </c>
      <c r="AG28" s="0" t="s">
        <v>392</v>
      </c>
    </row>
    <row r="29" customFormat="false" ht="15" hidden="false" customHeight="false" outlineLevel="0" collapsed="false">
      <c r="A29" s="0" t="s">
        <v>184</v>
      </c>
      <c r="B29" s="0" t="s">
        <v>392</v>
      </c>
      <c r="C29" s="0" t="s">
        <v>393</v>
      </c>
      <c r="D29" s="0" t="s">
        <v>420</v>
      </c>
      <c r="F29" s="0" t="n">
        <v>1</v>
      </c>
      <c r="G29" s="0" t="s">
        <v>394</v>
      </c>
      <c r="H29" s="0" t="s">
        <v>153</v>
      </c>
      <c r="I29" s="0" t="s">
        <v>450</v>
      </c>
      <c r="J29" s="0" t="s">
        <v>184</v>
      </c>
      <c r="K29" s="0" t="s">
        <v>396</v>
      </c>
      <c r="L29" s="0" t="n">
        <v>1.1839</v>
      </c>
      <c r="M29" s="0" t="s">
        <v>422</v>
      </c>
      <c r="N29" s="0" t="n">
        <v>0.08</v>
      </c>
      <c r="O29" s="0" t="n">
        <v>100.6315</v>
      </c>
      <c r="P29" s="0" t="n">
        <v>40.25</v>
      </c>
      <c r="Q29" s="0" t="s">
        <v>156</v>
      </c>
      <c r="R29" s="0" t="s">
        <v>170</v>
      </c>
      <c r="S29" s="0" t="n">
        <v>163</v>
      </c>
      <c r="T29" s="92" t="n">
        <v>0.254182</v>
      </c>
      <c r="U29" s="0" t="n">
        <v>2</v>
      </c>
      <c r="V29" s="0" t="s">
        <v>459</v>
      </c>
      <c r="W29" s="0" t="s">
        <v>398</v>
      </c>
      <c r="X29" s="0" t="n">
        <v>5</v>
      </c>
      <c r="Y29" s="0" t="s">
        <v>399</v>
      </c>
      <c r="Z29" s="0" t="n">
        <v>0</v>
      </c>
      <c r="AA29" s="0" t="n">
        <v>0</v>
      </c>
      <c r="AB29" s="0" t="s">
        <v>400</v>
      </c>
      <c r="AC29" s="0" t="n">
        <v>0</v>
      </c>
      <c r="AD29" s="0" t="s">
        <v>460</v>
      </c>
      <c r="AE29" s="0" t="s">
        <v>461</v>
      </c>
      <c r="AG29" s="0" t="s">
        <v>392</v>
      </c>
    </row>
    <row r="30" customFormat="false" ht="15" hidden="false" customHeight="false" outlineLevel="0" collapsed="false">
      <c r="A30" s="0" t="s">
        <v>184</v>
      </c>
      <c r="B30" s="0" t="s">
        <v>392</v>
      </c>
      <c r="C30" s="0" t="s">
        <v>393</v>
      </c>
      <c r="D30" s="0" t="s">
        <v>420</v>
      </c>
      <c r="F30" s="0" t="n">
        <v>2</v>
      </c>
      <c r="G30" s="0" t="s">
        <v>430</v>
      </c>
      <c r="H30" s="0" t="s">
        <v>168</v>
      </c>
      <c r="I30" s="0" t="s">
        <v>450</v>
      </c>
      <c r="J30" s="0" t="s">
        <v>184</v>
      </c>
      <c r="K30" s="0" t="s">
        <v>168</v>
      </c>
      <c r="L30" s="0" t="n">
        <v>1.2492</v>
      </c>
      <c r="M30" s="0" t="s">
        <v>422</v>
      </c>
      <c r="N30" s="0" t="n">
        <v>0.1</v>
      </c>
      <c r="O30" s="0" t="n">
        <v>106.182</v>
      </c>
      <c r="P30" s="0" t="n">
        <v>53.09</v>
      </c>
      <c r="Q30" s="0" t="s">
        <v>156</v>
      </c>
      <c r="R30" s="0" t="s">
        <v>170</v>
      </c>
      <c r="S30" s="0" t="n">
        <v>163</v>
      </c>
      <c r="T30" s="92" t="n">
        <v>0.016307</v>
      </c>
      <c r="U30" s="0" t="n">
        <v>2</v>
      </c>
      <c r="V30" s="0" t="s">
        <v>459</v>
      </c>
      <c r="W30" s="0" t="s">
        <v>398</v>
      </c>
      <c r="X30" s="0" t="n">
        <v>5</v>
      </c>
      <c r="Y30" s="0" t="s">
        <v>399</v>
      </c>
      <c r="Z30" s="0" t="n">
        <v>0</v>
      </c>
      <c r="AA30" s="0" t="n">
        <v>0</v>
      </c>
      <c r="AB30" s="0" t="s">
        <v>400</v>
      </c>
      <c r="AC30" s="0" t="n">
        <v>0</v>
      </c>
      <c r="AD30" s="0" t="s">
        <v>460</v>
      </c>
      <c r="AE30" s="0" t="s">
        <v>462</v>
      </c>
      <c r="AG30" s="0" t="s">
        <v>392</v>
      </c>
    </row>
    <row r="31" customFormat="false" ht="15" hidden="false" customHeight="false" outlineLevel="0" collapsed="false">
      <c r="A31" s="0" t="s">
        <v>184</v>
      </c>
      <c r="B31" s="0" t="s">
        <v>403</v>
      </c>
      <c r="C31" s="0" t="s">
        <v>393</v>
      </c>
      <c r="D31" s="0" t="s">
        <v>420</v>
      </c>
      <c r="F31" s="0" t="n">
        <v>1</v>
      </c>
      <c r="G31" s="0" t="s">
        <v>394</v>
      </c>
      <c r="H31" s="0" t="s">
        <v>153</v>
      </c>
      <c r="I31" s="0" t="s">
        <v>450</v>
      </c>
      <c r="J31" s="0" t="s">
        <v>184</v>
      </c>
      <c r="K31" s="0" t="s">
        <v>396</v>
      </c>
      <c r="L31" s="0" t="n">
        <v>1.1839</v>
      </c>
      <c r="M31" s="0" t="s">
        <v>422</v>
      </c>
      <c r="N31" s="0" t="n">
        <v>0.12</v>
      </c>
      <c r="O31" s="0" t="n">
        <v>100.6315</v>
      </c>
      <c r="P31" s="0" t="n">
        <v>60.38</v>
      </c>
      <c r="Q31" s="0" t="s">
        <v>156</v>
      </c>
      <c r="R31" s="0" t="s">
        <v>170</v>
      </c>
      <c r="S31" s="0" t="n">
        <v>244</v>
      </c>
      <c r="T31" s="92" t="n">
        <v>0.252654</v>
      </c>
      <c r="U31" s="0" t="n">
        <v>2</v>
      </c>
      <c r="V31" s="0" t="s">
        <v>463</v>
      </c>
      <c r="W31" s="0" t="s">
        <v>398</v>
      </c>
      <c r="X31" s="0" t="n">
        <v>5</v>
      </c>
      <c r="Y31" s="0" t="s">
        <v>399</v>
      </c>
      <c r="Z31" s="0" t="n">
        <v>0</v>
      </c>
      <c r="AA31" s="0" t="n">
        <v>0</v>
      </c>
      <c r="AB31" s="0" t="s">
        <v>400</v>
      </c>
      <c r="AC31" s="0" t="n">
        <v>0</v>
      </c>
      <c r="AD31" s="0" t="s">
        <v>464</v>
      </c>
      <c r="AE31" s="0" t="s">
        <v>465</v>
      </c>
      <c r="AG31" s="0" t="s">
        <v>392</v>
      </c>
    </row>
    <row r="32" customFormat="false" ht="15" hidden="false" customHeight="false" outlineLevel="0" collapsed="false">
      <c r="A32" s="0" t="s">
        <v>184</v>
      </c>
      <c r="B32" s="0" t="s">
        <v>403</v>
      </c>
      <c r="C32" s="0" t="s">
        <v>393</v>
      </c>
      <c r="D32" s="0" t="s">
        <v>420</v>
      </c>
      <c r="F32" s="0" t="n">
        <v>2</v>
      </c>
      <c r="G32" s="0" t="s">
        <v>430</v>
      </c>
      <c r="H32" s="0" t="s">
        <v>168</v>
      </c>
      <c r="I32" s="0" t="s">
        <v>450</v>
      </c>
      <c r="J32" s="0" t="s">
        <v>184</v>
      </c>
      <c r="K32" s="0" t="s">
        <v>168</v>
      </c>
      <c r="L32" s="0" t="n">
        <v>1.2492</v>
      </c>
      <c r="M32" s="0" t="s">
        <v>422</v>
      </c>
      <c r="N32" s="0" t="n">
        <v>0.15</v>
      </c>
      <c r="O32" s="0" t="n">
        <v>106.182</v>
      </c>
      <c r="P32" s="0" t="n">
        <v>79.64</v>
      </c>
      <c r="Q32" s="0" t="s">
        <v>156</v>
      </c>
      <c r="R32" s="0" t="s">
        <v>170</v>
      </c>
      <c r="S32" s="0" t="n">
        <v>244</v>
      </c>
      <c r="T32" s="92" t="n">
        <v>0.014291</v>
      </c>
      <c r="U32" s="0" t="n">
        <v>2</v>
      </c>
      <c r="V32" s="0" t="s">
        <v>463</v>
      </c>
      <c r="W32" s="0" t="s">
        <v>398</v>
      </c>
      <c r="X32" s="0" t="n">
        <v>5</v>
      </c>
      <c r="Y32" s="0" t="s">
        <v>399</v>
      </c>
      <c r="Z32" s="0" t="n">
        <v>0</v>
      </c>
      <c r="AA32" s="0" t="n">
        <v>0</v>
      </c>
      <c r="AB32" s="0" t="s">
        <v>400</v>
      </c>
      <c r="AC32" s="0" t="n">
        <v>0</v>
      </c>
      <c r="AD32" s="0" t="s">
        <v>464</v>
      </c>
      <c r="AE32" s="0" t="s">
        <v>466</v>
      </c>
      <c r="AG32" s="0" t="s">
        <v>392</v>
      </c>
    </row>
    <row r="33" customFormat="false" ht="15" hidden="false" customHeight="false" outlineLevel="0" collapsed="false">
      <c r="A33" s="0" t="s">
        <v>276</v>
      </c>
      <c r="B33" s="0" t="s">
        <v>392</v>
      </c>
      <c r="C33" s="0" t="s">
        <v>393</v>
      </c>
      <c r="D33" s="0" t="s">
        <v>156</v>
      </c>
      <c r="F33" s="0" t="n">
        <v>1</v>
      </c>
      <c r="G33" s="0" t="s">
        <v>394</v>
      </c>
      <c r="H33" s="0" t="s">
        <v>168</v>
      </c>
      <c r="I33" s="0" t="s">
        <v>467</v>
      </c>
      <c r="J33" s="0" t="s">
        <v>188</v>
      </c>
      <c r="K33" s="0" t="s">
        <v>168</v>
      </c>
      <c r="L33" s="0" t="n">
        <v>1.2492</v>
      </c>
      <c r="M33" s="0" t="s">
        <v>422</v>
      </c>
      <c r="N33" s="0" t="n">
        <v>0.126</v>
      </c>
      <c r="O33" s="0" t="n">
        <v>106.182</v>
      </c>
      <c r="P33" s="0" t="n">
        <v>66.89</v>
      </c>
      <c r="Q33" s="0" t="s">
        <v>156</v>
      </c>
      <c r="R33" s="0" t="s">
        <v>189</v>
      </c>
      <c r="S33" s="0" t="n">
        <v>270</v>
      </c>
      <c r="T33" s="92" t="n">
        <v>0.251737</v>
      </c>
      <c r="U33" s="0" t="n">
        <v>1</v>
      </c>
      <c r="V33" s="0" t="s">
        <v>468</v>
      </c>
      <c r="W33" s="0" t="s">
        <v>398</v>
      </c>
      <c r="X33" s="0" t="n">
        <v>5</v>
      </c>
      <c r="Y33" s="0" t="s">
        <v>399</v>
      </c>
      <c r="Z33" s="0" t="n">
        <v>0</v>
      </c>
      <c r="AA33" s="0" t="n">
        <v>0</v>
      </c>
      <c r="AB33" s="0" t="s">
        <v>400</v>
      </c>
      <c r="AC33" s="0" t="n">
        <v>0</v>
      </c>
      <c r="AD33" s="0" t="s">
        <v>469</v>
      </c>
      <c r="AE33" s="0" t="s">
        <v>470</v>
      </c>
      <c r="AG33" s="0" t="s">
        <v>392</v>
      </c>
    </row>
    <row r="34" customFormat="false" ht="15" hidden="false" customHeight="false" outlineLevel="0" collapsed="false">
      <c r="A34" s="0" t="s">
        <v>192</v>
      </c>
      <c r="B34" s="0" t="s">
        <v>392</v>
      </c>
      <c r="C34" s="0" t="s">
        <v>393</v>
      </c>
      <c r="D34" s="0" t="s">
        <v>420</v>
      </c>
      <c r="F34" s="0" t="n">
        <v>1</v>
      </c>
      <c r="G34" s="0" t="s">
        <v>394</v>
      </c>
      <c r="H34" s="0" t="s">
        <v>153</v>
      </c>
      <c r="I34" s="0" t="s">
        <v>471</v>
      </c>
      <c r="J34" s="0" t="s">
        <v>192</v>
      </c>
      <c r="K34" s="0" t="s">
        <v>396</v>
      </c>
      <c r="L34" s="0" t="n">
        <v>1.1839</v>
      </c>
      <c r="M34" s="0" t="s">
        <v>422</v>
      </c>
      <c r="N34" s="0" t="n">
        <v>0.0225</v>
      </c>
      <c r="O34" s="0" t="n">
        <v>100.6315</v>
      </c>
      <c r="P34" s="0" t="n">
        <v>13.59</v>
      </c>
      <c r="Q34" s="0" t="s">
        <v>156</v>
      </c>
      <c r="R34" s="0" t="s">
        <v>193</v>
      </c>
      <c r="S34" s="0" t="n">
        <v>69</v>
      </c>
      <c r="T34" s="92" t="n">
        <v>0.405372</v>
      </c>
      <c r="U34" s="0" t="n">
        <v>1</v>
      </c>
      <c r="V34" s="0" t="s">
        <v>472</v>
      </c>
      <c r="W34" s="0" t="s">
        <v>398</v>
      </c>
      <c r="X34" s="0" t="n">
        <v>6</v>
      </c>
      <c r="Y34" s="0" t="s">
        <v>399</v>
      </c>
      <c r="Z34" s="0" t="n">
        <v>0</v>
      </c>
      <c r="AA34" s="0" t="n">
        <v>0</v>
      </c>
      <c r="AB34" s="0" t="s">
        <v>400</v>
      </c>
      <c r="AC34" s="0" t="n">
        <v>0</v>
      </c>
      <c r="AD34" s="0" t="s">
        <v>473</v>
      </c>
      <c r="AE34" s="0" t="s">
        <v>474</v>
      </c>
      <c r="AG34" s="0" t="s">
        <v>426</v>
      </c>
    </row>
    <row r="35" customFormat="false" ht="15" hidden="false" customHeight="false" outlineLevel="0" collapsed="false">
      <c r="A35" s="0" t="s">
        <v>192</v>
      </c>
      <c r="B35" s="0" t="s">
        <v>426</v>
      </c>
      <c r="C35" s="0" t="s">
        <v>393</v>
      </c>
      <c r="D35" s="0" t="s">
        <v>420</v>
      </c>
      <c r="F35" s="0" t="n">
        <v>1</v>
      </c>
      <c r="G35" s="0" t="s">
        <v>394</v>
      </c>
      <c r="H35" s="0" t="s">
        <v>153</v>
      </c>
      <c r="I35" s="0" t="s">
        <v>471</v>
      </c>
      <c r="J35" s="0" t="s">
        <v>192</v>
      </c>
      <c r="K35" s="0" t="s">
        <v>396</v>
      </c>
      <c r="L35" s="0" t="n">
        <v>1.1839</v>
      </c>
      <c r="M35" s="0" t="s">
        <v>422</v>
      </c>
      <c r="N35" s="0" t="n">
        <v>0.012</v>
      </c>
      <c r="O35" s="0" t="n">
        <v>100.6315</v>
      </c>
      <c r="P35" s="0" t="n">
        <v>7.25</v>
      </c>
      <c r="Q35" s="0" t="s">
        <v>156</v>
      </c>
      <c r="R35" s="0" t="s">
        <v>193</v>
      </c>
      <c r="S35" s="0" t="n">
        <v>37</v>
      </c>
      <c r="T35" s="92" t="n">
        <v>0.408587</v>
      </c>
      <c r="U35" s="0" t="n">
        <v>1</v>
      </c>
      <c r="V35" s="0" t="s">
        <v>475</v>
      </c>
      <c r="W35" s="0" t="s">
        <v>398</v>
      </c>
      <c r="X35" s="0" t="n">
        <v>6</v>
      </c>
      <c r="Y35" s="0" t="s">
        <v>399</v>
      </c>
      <c r="Z35" s="0" t="n">
        <v>0</v>
      </c>
      <c r="AA35" s="0" t="n">
        <v>0</v>
      </c>
      <c r="AB35" s="0" t="s">
        <v>400</v>
      </c>
      <c r="AC35" s="0" t="n">
        <v>0</v>
      </c>
      <c r="AD35" s="0" t="s">
        <v>476</v>
      </c>
      <c r="AE35" s="0" t="s">
        <v>477</v>
      </c>
      <c r="AG35" s="0" t="s">
        <v>426</v>
      </c>
    </row>
    <row r="36" customFormat="false" ht="15" hidden="false" customHeight="false" outlineLevel="0" collapsed="false">
      <c r="A36" s="0" t="s">
        <v>198</v>
      </c>
      <c r="B36" s="0" t="s">
        <v>478</v>
      </c>
      <c r="C36" s="0" t="s">
        <v>393</v>
      </c>
      <c r="D36" s="0" t="s">
        <v>156</v>
      </c>
      <c r="F36" s="0" t="n">
        <v>1</v>
      </c>
      <c r="G36" s="0" t="s">
        <v>394</v>
      </c>
      <c r="H36" s="0" t="s">
        <v>153</v>
      </c>
      <c r="I36" s="0" t="s">
        <v>395</v>
      </c>
      <c r="J36" s="0" t="s">
        <v>198</v>
      </c>
      <c r="K36" s="0" t="s">
        <v>396</v>
      </c>
      <c r="L36" s="0" t="n">
        <v>1.1839</v>
      </c>
      <c r="M36" s="0" t="s">
        <v>422</v>
      </c>
      <c r="N36" s="0" t="n">
        <v>0.079</v>
      </c>
      <c r="O36" s="0" t="n">
        <v>100.6315</v>
      </c>
      <c r="P36" s="0" t="n">
        <v>63.6</v>
      </c>
      <c r="Q36" s="0" t="s">
        <v>156</v>
      </c>
      <c r="R36" s="0" t="s">
        <v>199</v>
      </c>
      <c r="S36" s="0" t="n">
        <v>273</v>
      </c>
      <c r="T36" s="92" t="n">
        <v>0.296418</v>
      </c>
      <c r="U36" s="0" t="n">
        <v>2</v>
      </c>
      <c r="V36" s="0" t="s">
        <v>479</v>
      </c>
      <c r="W36" s="0" t="s">
        <v>398</v>
      </c>
      <c r="X36" s="0" t="n">
        <v>8</v>
      </c>
      <c r="Y36" s="0" t="s">
        <v>399</v>
      </c>
      <c r="Z36" s="0" t="n">
        <v>0</v>
      </c>
      <c r="AA36" s="0" t="n">
        <v>0</v>
      </c>
      <c r="AB36" s="0" t="s">
        <v>400</v>
      </c>
      <c r="AC36" s="0" t="n">
        <v>0</v>
      </c>
      <c r="AD36" s="0" t="s">
        <v>480</v>
      </c>
      <c r="AE36" s="0" t="s">
        <v>481</v>
      </c>
      <c r="AF36" s="0" t="s">
        <v>200</v>
      </c>
      <c r="AG36" s="0" t="s">
        <v>478</v>
      </c>
    </row>
    <row r="37" customFormat="false" ht="15" hidden="false" customHeight="false" outlineLevel="0" collapsed="false">
      <c r="A37" s="0" t="s">
        <v>198</v>
      </c>
      <c r="B37" s="0" t="s">
        <v>478</v>
      </c>
      <c r="C37" s="0" t="s">
        <v>393</v>
      </c>
      <c r="D37" s="0" t="s">
        <v>156</v>
      </c>
      <c r="F37" s="0" t="n">
        <v>2</v>
      </c>
      <c r="G37" s="0" t="s">
        <v>430</v>
      </c>
      <c r="H37" s="0" t="s">
        <v>197</v>
      </c>
      <c r="I37" s="0" t="s">
        <v>395</v>
      </c>
      <c r="J37" s="0" t="s">
        <v>198</v>
      </c>
      <c r="K37" s="0" t="s">
        <v>396</v>
      </c>
      <c r="L37" s="0" t="n">
        <v>1.1839</v>
      </c>
      <c r="M37" s="0" t="s">
        <v>422</v>
      </c>
      <c r="N37" s="0" t="n">
        <v>0.112</v>
      </c>
      <c r="O37" s="0" t="n">
        <v>100.6315</v>
      </c>
      <c r="P37" s="0" t="n">
        <v>90.17</v>
      </c>
      <c r="Q37" s="0" t="s">
        <v>156</v>
      </c>
      <c r="R37" s="0" t="s">
        <v>199</v>
      </c>
      <c r="S37" s="0" t="n">
        <v>273</v>
      </c>
      <c r="T37" s="92" t="n">
        <v>0.002517</v>
      </c>
      <c r="U37" s="0" t="n">
        <v>2</v>
      </c>
      <c r="V37" s="0" t="s">
        <v>479</v>
      </c>
      <c r="W37" s="0" t="s">
        <v>398</v>
      </c>
      <c r="X37" s="0" t="n">
        <v>8</v>
      </c>
      <c r="Y37" s="0" t="s">
        <v>399</v>
      </c>
      <c r="Z37" s="0" t="n">
        <v>0</v>
      </c>
      <c r="AA37" s="0" t="n">
        <v>0</v>
      </c>
      <c r="AB37" s="0" t="s">
        <v>400</v>
      </c>
      <c r="AC37" s="0" t="n">
        <v>0</v>
      </c>
      <c r="AD37" s="0" t="s">
        <v>480</v>
      </c>
      <c r="AE37" s="0" t="s">
        <v>482</v>
      </c>
      <c r="AF37" s="0" t="s">
        <v>200</v>
      </c>
      <c r="AG37" s="0" t="s">
        <v>478</v>
      </c>
    </row>
    <row r="38" customFormat="false" ht="15" hidden="false" customHeight="false" outlineLevel="0" collapsed="false">
      <c r="A38" s="0" t="s">
        <v>205</v>
      </c>
      <c r="B38" s="0" t="s">
        <v>478</v>
      </c>
      <c r="C38" s="0" t="s">
        <v>483</v>
      </c>
      <c r="D38" s="0" t="s">
        <v>484</v>
      </c>
      <c r="F38" s="0" t="n">
        <v>1</v>
      </c>
      <c r="G38" s="0" t="s">
        <v>394</v>
      </c>
      <c r="H38" s="0" t="s">
        <v>204</v>
      </c>
      <c r="I38" s="0" t="s">
        <v>395</v>
      </c>
      <c r="J38" s="0" t="s">
        <v>205</v>
      </c>
      <c r="K38" s="0" t="s">
        <v>396</v>
      </c>
      <c r="L38" s="0" t="n">
        <v>1.1839</v>
      </c>
      <c r="M38" s="0" t="s">
        <v>485</v>
      </c>
      <c r="N38" s="0" t="n">
        <v>0.02</v>
      </c>
      <c r="O38" s="0" t="n">
        <v>100.6315</v>
      </c>
      <c r="P38" s="0" t="n">
        <v>2.01</v>
      </c>
      <c r="Q38" s="0" t="s">
        <v>156</v>
      </c>
      <c r="R38" s="0" t="inlineStr">
        <is>
          <t xml:space="preserve">HIGH; Kie reserve costed 2026-08-14 — LaoZhang remains primary; no longer single-leg.</t>
        </is>
      </c>
      <c r="S38" s="0" t="n">
        <v>9</v>
      </c>
      <c r="T38" s="92" t="n">
        <v>0.324621</v>
      </c>
      <c r="U38" s="0">
        <v>2</v>
      </c>
      <c r="V38" s="0" t="s">
        <v>486</v>
      </c>
      <c r="W38" s="0" t="s">
        <v>398</v>
      </c>
      <c r="X38" s="0" t="n">
        <v>1</v>
      </c>
      <c r="Y38" s="0" t="s">
        <v>399</v>
      </c>
      <c r="Z38" s="0" t="n">
        <v>0</v>
      </c>
      <c r="AA38" s="0" t="n">
        <v>0</v>
      </c>
      <c r="AB38" s="0" t="s">
        <v>400</v>
      </c>
      <c r="AC38" s="0" t="n">
        <v>0</v>
      </c>
      <c r="AD38" s="0" t="s">
        <v>487</v>
      </c>
      <c r="AE38" s="0" t="s">
        <v>488</v>
      </c>
      <c r="AG38" s="0" t="s">
        <v>478</v>
      </c>
    </row>
    <row r="39" customFormat="false" ht="15" hidden="false" customHeight="false" outlineLevel="0" collapsed="false">
      <c r="A39" s="0" t="s">
        <v>489</v>
      </c>
      <c r="B39" s="0" t="s">
        <v>490</v>
      </c>
      <c r="C39" s="0" t="s">
        <v>483</v>
      </c>
      <c r="D39" s="0" t="s">
        <v>484</v>
      </c>
      <c r="F39" s="0" t="n">
        <v>1</v>
      </c>
      <c r="G39" s="0" t="s">
        <v>394</v>
      </c>
      <c r="H39" s="0" t="s">
        <v>153</v>
      </c>
      <c r="I39" s="0" t="s">
        <v>395</v>
      </c>
      <c r="J39" s="0" t="s">
        <v>209</v>
      </c>
      <c r="K39" s="0" t="s">
        <v>396</v>
      </c>
      <c r="L39" s="0" t="n">
        <v>1.1839</v>
      </c>
      <c r="M39" s="0" t="s">
        <v>485</v>
      </c>
      <c r="N39" s="0" t="n">
        <v>0.04</v>
      </c>
      <c r="O39" s="0" t="n">
        <v>100.6315</v>
      </c>
      <c r="P39" s="0" t="n">
        <v>4.03</v>
      </c>
      <c r="Q39" s="0" t="s">
        <v>156</v>
      </c>
      <c r="R39" s="0" t="s">
        <v>170</v>
      </c>
      <c r="S39" s="0" t="n">
        <v>17</v>
      </c>
      <c r="T39" s="92" t="n">
        <v>0.284892</v>
      </c>
      <c r="U39" s="0" t="n">
        <v>2</v>
      </c>
      <c r="V39" s="0" t="s">
        <v>491</v>
      </c>
      <c r="W39" s="0" t="s">
        <v>398</v>
      </c>
      <c r="X39" s="0" t="n">
        <v>1</v>
      </c>
      <c r="Y39" s="0" t="s">
        <v>399</v>
      </c>
      <c r="Z39" s="0" t="n">
        <v>0</v>
      </c>
      <c r="AA39" s="0" t="n">
        <v>0</v>
      </c>
      <c r="AB39" s="0" t="s">
        <v>400</v>
      </c>
      <c r="AC39" s="0" t="n">
        <v>0</v>
      </c>
      <c r="AD39" s="0" t="s">
        <v>492</v>
      </c>
      <c r="AE39" s="0" t="s">
        <v>493</v>
      </c>
      <c r="AG39" s="0" t="s">
        <v>490</v>
      </c>
    </row>
    <row r="40" customFormat="false" ht="15" hidden="false" customHeight="false" outlineLevel="0" collapsed="false">
      <c r="A40" s="0" t="s">
        <v>489</v>
      </c>
      <c r="B40" s="0" t="s">
        <v>490</v>
      </c>
      <c r="C40" s="0" t="s">
        <v>483</v>
      </c>
      <c r="D40" s="0" t="s">
        <v>484</v>
      </c>
      <c r="F40" s="0" t="n">
        <v>2</v>
      </c>
      <c r="G40" s="0" t="s">
        <v>430</v>
      </c>
      <c r="H40" s="0" t="s">
        <v>204</v>
      </c>
      <c r="I40" s="0" t="s">
        <v>395</v>
      </c>
      <c r="J40" s="0" t="s">
        <v>209</v>
      </c>
      <c r="K40" s="0" t="s">
        <v>396</v>
      </c>
      <c r="L40" s="0" t="n">
        <v>1.1839</v>
      </c>
      <c r="M40" s="0" t="s">
        <v>485</v>
      </c>
      <c r="N40" s="0" t="n">
        <v>0.055</v>
      </c>
      <c r="O40" s="0" t="n">
        <v>100.6315</v>
      </c>
      <c r="P40" s="0" t="n">
        <v>5.53</v>
      </c>
      <c r="Q40" s="0" t="s">
        <v>156</v>
      </c>
      <c r="R40" s="0" t="s">
        <v>170</v>
      </c>
      <c r="S40" s="0" t="n">
        <v>17</v>
      </c>
      <c r="T40" s="92" t="n">
        <v>0.016727</v>
      </c>
      <c r="U40" s="0" t="n">
        <v>2</v>
      </c>
      <c r="V40" s="0" t="s">
        <v>491</v>
      </c>
      <c r="W40" s="0" t="s">
        <v>398</v>
      </c>
      <c r="X40" s="0" t="n">
        <v>1</v>
      </c>
      <c r="Y40" s="0" t="s">
        <v>399</v>
      </c>
      <c r="Z40" s="0" t="n">
        <v>0</v>
      </c>
      <c r="AA40" s="0" t="n">
        <v>0</v>
      </c>
      <c r="AB40" s="0" t="s">
        <v>400</v>
      </c>
      <c r="AC40" s="0" t="n">
        <v>0</v>
      </c>
      <c r="AD40" s="0" t="s">
        <v>492</v>
      </c>
      <c r="AE40" s="0" t="s">
        <v>494</v>
      </c>
      <c r="AG40" s="0" t="s">
        <v>490</v>
      </c>
    </row>
    <row r="41" customFormat="false" ht="15" hidden="false" customHeight="false" outlineLevel="0" collapsed="false">
      <c r="A41" s="0" t="s">
        <v>495</v>
      </c>
      <c r="B41" s="0" t="s">
        <v>478</v>
      </c>
      <c r="C41" s="0" t="s">
        <v>483</v>
      </c>
      <c r="D41" s="0" t="s">
        <v>484</v>
      </c>
      <c r="F41" s="0" t="n">
        <v>1</v>
      </c>
      <c r="G41" s="0" t="s">
        <v>394</v>
      </c>
      <c r="H41" s="0" t="s">
        <v>153</v>
      </c>
      <c r="I41" s="0" t="s">
        <v>395</v>
      </c>
      <c r="J41" s="0" t="s">
        <v>210</v>
      </c>
      <c r="K41" s="0" t="s">
        <v>396</v>
      </c>
      <c r="L41" s="0" t="n">
        <v>1.1839</v>
      </c>
      <c r="M41" s="0" t="s">
        <v>485</v>
      </c>
      <c r="N41" s="0" t="n">
        <v>0.02</v>
      </c>
      <c r="O41" s="0" t="n">
        <v>100.6315</v>
      </c>
      <c r="P41" s="0" t="n">
        <v>2.01</v>
      </c>
      <c r="Q41" s="0" t="s">
        <v>156</v>
      </c>
      <c r="R41" s="0" t="s">
        <v>170</v>
      </c>
      <c r="S41" s="0" t="n">
        <v>9</v>
      </c>
      <c r="T41" s="92" t="n">
        <v>0.324621</v>
      </c>
      <c r="U41" s="0" t="n">
        <v>2</v>
      </c>
      <c r="V41" s="0" t="s">
        <v>496</v>
      </c>
      <c r="W41" s="0" t="s">
        <v>398</v>
      </c>
      <c r="X41" s="0" t="n">
        <v>1</v>
      </c>
      <c r="Y41" s="0" t="s">
        <v>399</v>
      </c>
      <c r="Z41" s="0" t="n">
        <v>0</v>
      </c>
      <c r="AA41" s="0" t="n">
        <v>0</v>
      </c>
      <c r="AB41" s="0" t="s">
        <v>400</v>
      </c>
      <c r="AC41" s="0" t="n">
        <v>0</v>
      </c>
      <c r="AD41" s="0" t="s">
        <v>497</v>
      </c>
      <c r="AE41" s="0" t="s">
        <v>498</v>
      </c>
      <c r="AG41" s="0" t="s">
        <v>478</v>
      </c>
    </row>
    <row r="42" customFormat="false" ht="15" hidden="false" customHeight="false" outlineLevel="0" collapsed="false">
      <c r="A42" s="0" t="s">
        <v>495</v>
      </c>
      <c r="B42" s="0" t="s">
        <v>478</v>
      </c>
      <c r="C42" s="0" t="s">
        <v>483</v>
      </c>
      <c r="D42" s="0" t="s">
        <v>484</v>
      </c>
      <c r="F42" s="0" t="n">
        <v>2</v>
      </c>
      <c r="G42" s="0" t="s">
        <v>430</v>
      </c>
      <c r="H42" s="0" t="s">
        <v>204</v>
      </c>
      <c r="I42" s="0" t="s">
        <v>395</v>
      </c>
      <c r="J42" s="0" t="s">
        <v>210</v>
      </c>
      <c r="K42" s="0" t="s">
        <v>396</v>
      </c>
      <c r="L42" s="0" t="n">
        <v>1.1839</v>
      </c>
      <c r="M42" s="0" t="s">
        <v>485</v>
      </c>
      <c r="N42" s="0" t="n">
        <v>0.025</v>
      </c>
      <c r="O42" s="0" t="n">
        <v>100.6315</v>
      </c>
      <c r="P42" s="0" t="n">
        <v>2.52</v>
      </c>
      <c r="Q42" s="0" t="s">
        <v>156</v>
      </c>
      <c r="R42" s="0" t="s">
        <v>170</v>
      </c>
      <c r="S42" s="0" t="n">
        <v>9</v>
      </c>
      <c r="T42" s="92" t="n">
        <v>0.155776</v>
      </c>
      <c r="U42" s="0" t="n">
        <v>2</v>
      </c>
      <c r="V42" s="0" t="s">
        <v>496</v>
      </c>
      <c r="W42" s="0" t="s">
        <v>398</v>
      </c>
      <c r="X42" s="0" t="n">
        <v>1</v>
      </c>
      <c r="Y42" s="0" t="s">
        <v>399</v>
      </c>
      <c r="Z42" s="0" t="n">
        <v>0</v>
      </c>
      <c r="AA42" s="0" t="n">
        <v>0</v>
      </c>
      <c r="AB42" s="0" t="s">
        <v>400</v>
      </c>
      <c r="AC42" s="0" t="n">
        <v>0</v>
      </c>
      <c r="AD42" s="0" t="s">
        <v>497</v>
      </c>
      <c r="AE42" s="0" t="s">
        <v>499</v>
      </c>
      <c r="AG42" s="0" t="s">
        <v>478</v>
      </c>
    </row>
    <row r="43" customFormat="false" ht="15" hidden="false" customHeight="false" outlineLevel="0" collapsed="false">
      <c r="A43" s="0" t="s">
        <v>500</v>
      </c>
      <c r="B43" s="0" t="s">
        <v>490</v>
      </c>
      <c r="C43" s="0" t="s">
        <v>483</v>
      </c>
      <c r="D43" s="0" t="s">
        <v>484</v>
      </c>
      <c r="F43" s="0" t="n">
        <v>1</v>
      </c>
      <c r="G43" s="0" t="s">
        <v>394</v>
      </c>
      <c r="H43" s="0" t="s">
        <v>204</v>
      </c>
      <c r="I43" s="0" t="s">
        <v>395</v>
      </c>
      <c r="J43" s="0" t="s">
        <v>212</v>
      </c>
      <c r="K43" s="0" t="s">
        <v>396</v>
      </c>
      <c r="L43" s="0" t="n">
        <v>1.1839</v>
      </c>
      <c r="M43" s="0" t="s">
        <v>485</v>
      </c>
      <c r="N43" s="0" t="n">
        <v>0.09</v>
      </c>
      <c r="O43" s="0" t="n">
        <v>100.6315</v>
      </c>
      <c r="P43" s="0" t="n">
        <v>9.06</v>
      </c>
      <c r="Q43" s="0" t="s">
        <v>156</v>
      </c>
      <c r="R43" s="0" t="s">
        <v>206</v>
      </c>
      <c r="S43" s="0" t="n">
        <v>37</v>
      </c>
      <c r="T43" s="92" t="n">
        <v>0.260733</v>
      </c>
      <c r="U43" s="0" t="n">
        <v>1</v>
      </c>
      <c r="V43" s="0" t="s">
        <v>501</v>
      </c>
      <c r="W43" s="0" t="s">
        <v>398</v>
      </c>
      <c r="X43" s="0" t="n">
        <v>1</v>
      </c>
      <c r="Y43" s="0" t="s">
        <v>399</v>
      </c>
      <c r="Z43" s="0" t="n">
        <v>0</v>
      </c>
      <c r="AA43" s="0" t="n">
        <v>0</v>
      </c>
      <c r="AB43" s="0" t="s">
        <v>400</v>
      </c>
      <c r="AC43" s="0" t="n">
        <v>0</v>
      </c>
      <c r="AD43" s="0" t="s">
        <v>502</v>
      </c>
      <c r="AE43" s="0" t="s">
        <v>503</v>
      </c>
      <c r="AG43" s="0" t="s">
        <v>490</v>
      </c>
    </row>
    <row r="44" customFormat="false" ht="15" hidden="false" customHeight="false" outlineLevel="0" collapsed="false">
      <c r="A44" s="0" t="s">
        <v>500</v>
      </c>
      <c r="B44" s="0" t="s">
        <v>419</v>
      </c>
      <c r="C44" s="0" t="s">
        <v>483</v>
      </c>
      <c r="D44" s="0" t="s">
        <v>484</v>
      </c>
      <c r="F44" s="0" t="n">
        <v>1</v>
      </c>
      <c r="G44" s="0" t="s">
        <v>394</v>
      </c>
      <c r="H44" s="0" t="s">
        <v>204</v>
      </c>
      <c r="I44" s="0" t="s">
        <v>395</v>
      </c>
      <c r="J44" s="0" t="s">
        <v>212</v>
      </c>
      <c r="K44" s="0" t="s">
        <v>396</v>
      </c>
      <c r="L44" s="0" t="n">
        <v>1.1839</v>
      </c>
      <c r="M44" s="0" t="s">
        <v>485</v>
      </c>
      <c r="N44" s="0" t="n">
        <v>0.09</v>
      </c>
      <c r="O44" s="0" t="n">
        <v>100.6315</v>
      </c>
      <c r="P44" s="0" t="n">
        <v>9.06</v>
      </c>
      <c r="Q44" s="0" t="s">
        <v>156</v>
      </c>
      <c r="R44" s="0" t="s">
        <v>170</v>
      </c>
      <c r="S44" s="0" t="n">
        <v>50</v>
      </c>
      <c r="T44" s="92" t="n">
        <v>0.452943</v>
      </c>
      <c r="U44" s="0" t="n">
        <v>2</v>
      </c>
      <c r="V44" s="0" t="s">
        <v>504</v>
      </c>
      <c r="W44" s="0" t="s">
        <v>398</v>
      </c>
      <c r="X44" s="0" t="n">
        <v>1</v>
      </c>
      <c r="Y44" s="0" t="s">
        <v>399</v>
      </c>
      <c r="Z44" s="0" t="n">
        <v>0</v>
      </c>
      <c r="AA44" s="0" t="n">
        <v>0</v>
      </c>
      <c r="AB44" s="0" t="s">
        <v>400</v>
      </c>
      <c r="AC44" s="0" t="n">
        <v>0</v>
      </c>
      <c r="AD44" s="0" t="s">
        <v>505</v>
      </c>
      <c r="AE44" s="0" t="s">
        <v>506</v>
      </c>
      <c r="AG44" s="0" t="s">
        <v>490</v>
      </c>
    </row>
    <row r="45" customFormat="false" ht="15" hidden="false" customHeight="false" outlineLevel="0" collapsed="false">
      <c r="A45" s="0" t="s">
        <v>500</v>
      </c>
      <c r="B45" s="0" t="s">
        <v>419</v>
      </c>
      <c r="C45" s="0" t="s">
        <v>483</v>
      </c>
      <c r="D45" s="0" t="s">
        <v>484</v>
      </c>
      <c r="F45" s="0" t="n">
        <v>2</v>
      </c>
      <c r="G45" s="0" t="s">
        <v>430</v>
      </c>
      <c r="H45" s="0" t="s">
        <v>153</v>
      </c>
      <c r="I45" s="0" t="s">
        <v>395</v>
      </c>
      <c r="J45" s="0" t="s">
        <v>212</v>
      </c>
      <c r="K45" s="0" t="s">
        <v>396</v>
      </c>
      <c r="L45" s="0" t="n">
        <v>1.1839</v>
      </c>
      <c r="M45" s="0" t="s">
        <v>485</v>
      </c>
      <c r="N45" s="0" t="n">
        <v>0.12</v>
      </c>
      <c r="O45" s="0" t="n">
        <v>100.6315</v>
      </c>
      <c r="P45" s="0" t="n">
        <v>12.08</v>
      </c>
      <c r="Q45" s="0" t="s">
        <v>156</v>
      </c>
      <c r="R45" s="0" t="s">
        <v>170</v>
      </c>
      <c r="S45" s="0" t="n">
        <v>50</v>
      </c>
      <c r="T45" s="92" t="n">
        <v>0.27059</v>
      </c>
      <c r="U45" s="0" t="n">
        <v>2</v>
      </c>
      <c r="V45" s="0" t="s">
        <v>504</v>
      </c>
      <c r="W45" s="0" t="s">
        <v>398</v>
      </c>
      <c r="X45" s="0" t="n">
        <v>1</v>
      </c>
      <c r="Y45" s="0" t="s">
        <v>399</v>
      </c>
      <c r="Z45" s="0" t="n">
        <v>0</v>
      </c>
      <c r="AA45" s="0" t="n">
        <v>0</v>
      </c>
      <c r="AB45" s="0" t="s">
        <v>400</v>
      </c>
      <c r="AC45" s="0" t="n">
        <v>0</v>
      </c>
      <c r="AD45" s="0" t="s">
        <v>505</v>
      </c>
      <c r="AE45" s="0" t="s">
        <v>507</v>
      </c>
      <c r="AG45" s="0" t="s">
        <v>490</v>
      </c>
    </row>
    <row r="46" customFormat="false" ht="15" hidden="false" customHeight="false" outlineLevel="0" collapsed="false">
      <c r="A46" s="0" t="s">
        <v>508</v>
      </c>
      <c r="B46" s="0" t="s">
        <v>478</v>
      </c>
      <c r="C46" s="0" t="s">
        <v>483</v>
      </c>
      <c r="D46" s="0" t="s">
        <v>484</v>
      </c>
      <c r="E46" s="0" t="s">
        <v>509</v>
      </c>
      <c r="F46" s="0" t="n">
        <v>1</v>
      </c>
      <c r="G46" s="0" t="s">
        <v>394</v>
      </c>
      <c r="H46" s="0" t="s">
        <v>204</v>
      </c>
      <c r="I46" s="0" t="s">
        <v>510</v>
      </c>
      <c r="J46" s="0" t="s">
        <v>217</v>
      </c>
      <c r="K46" s="0" t="s">
        <v>396</v>
      </c>
      <c r="L46" s="0" t="n">
        <v>1.1839</v>
      </c>
      <c r="M46" s="0" t="s">
        <v>485</v>
      </c>
      <c r="N46" s="0" t="n">
        <v>0.03</v>
      </c>
      <c r="O46" s="0" t="n">
        <v>100.6315</v>
      </c>
      <c r="P46" s="0" t="n">
        <v>3.02</v>
      </c>
      <c r="Q46" s="0" t="s">
        <v>156</v>
      </c>
      <c r="R46" s="0" t="s">
        <v>218</v>
      </c>
      <c r="S46" s="0" t="n">
        <v>13</v>
      </c>
      <c r="T46" s="92" t="n">
        <v>0.298644</v>
      </c>
      <c r="U46" s="0">
        <v>2</v>
      </c>
      <c r="V46" s="0" t="s">
        <v>511</v>
      </c>
      <c r="W46" s="0" t="s">
        <v>398</v>
      </c>
      <c r="X46" s="0" t="n">
        <v>1</v>
      </c>
      <c r="Y46" s="0" t="s">
        <v>399</v>
      </c>
      <c r="Z46" s="0" t="n">
        <v>0</v>
      </c>
      <c r="AA46" s="0" t="n">
        <v>0</v>
      </c>
      <c r="AB46" s="0" t="s">
        <v>400</v>
      </c>
      <c r="AC46" s="0" t="n">
        <v>0</v>
      </c>
      <c r="AD46" s="0" t="s">
        <v>512</v>
      </c>
      <c r="AE46" s="0" t="s">
        <v>513</v>
      </c>
      <c r="AG46" s="0" t="s">
        <v>509</v>
      </c>
    </row>
    <row r="47" customFormat="false" ht="15" hidden="false" customHeight="false" outlineLevel="0" collapsed="false">
      <c r="A47" s="0" t="s">
        <v>508</v>
      </c>
      <c r="B47" s="0" t="s">
        <v>478</v>
      </c>
      <c r="C47" s="0" t="s">
        <v>483</v>
      </c>
      <c r="D47" s="0" t="s">
        <v>484</v>
      </c>
      <c r="E47" s="0" t="s">
        <v>514</v>
      </c>
      <c r="F47" s="0" t="n">
        <v>1</v>
      </c>
      <c r="G47" s="0" t="s">
        <v>394</v>
      </c>
      <c r="H47" s="0" t="s">
        <v>204</v>
      </c>
      <c r="I47" s="0" t="s">
        <v>510</v>
      </c>
      <c r="J47" s="0" t="s">
        <v>217</v>
      </c>
      <c r="K47" s="0" t="s">
        <v>396</v>
      </c>
      <c r="L47" s="0" t="n">
        <v>1.1839</v>
      </c>
      <c r="M47" s="0" t="s">
        <v>485</v>
      </c>
      <c r="N47" s="0" t="n">
        <v>0.03</v>
      </c>
      <c r="O47" s="0" t="n">
        <v>100.6315</v>
      </c>
      <c r="P47" s="0" t="n">
        <v>3.02</v>
      </c>
      <c r="Q47" s="0" t="s">
        <v>156</v>
      </c>
      <c r="R47" s="0" t="s">
        <v>218</v>
      </c>
      <c r="S47" s="0" t="n">
        <v>21</v>
      </c>
      <c r="T47" s="92" t="n">
        <v>0.565828</v>
      </c>
      <c r="U47" s="0">
        <v>2</v>
      </c>
      <c r="V47" s="0" t="s">
        <v>515</v>
      </c>
      <c r="W47" s="0" t="s">
        <v>398</v>
      </c>
      <c r="X47" s="0" t="n">
        <v>1</v>
      </c>
      <c r="Y47" s="0" t="s">
        <v>399</v>
      </c>
      <c r="Z47" s="0" t="n">
        <v>0</v>
      </c>
      <c r="AA47" s="0" t="n">
        <v>0</v>
      </c>
      <c r="AB47" s="0" t="s">
        <v>400</v>
      </c>
      <c r="AC47" s="0" t="n">
        <v>0</v>
      </c>
      <c r="AD47" s="0" t="s">
        <v>516</v>
      </c>
      <c r="AE47" s="0" t="s">
        <v>517</v>
      </c>
      <c r="AG47" s="0" t="s">
        <v>509</v>
      </c>
    </row>
    <row r="48" customFormat="false" ht="15" hidden="false" customHeight="false" outlineLevel="0" collapsed="false">
      <c r="A48" s="0" t="s">
        <v>508</v>
      </c>
      <c r="B48" s="0" t="s">
        <v>478</v>
      </c>
      <c r="C48" s="0" t="s">
        <v>483</v>
      </c>
      <c r="D48" s="0" t="s">
        <v>484</v>
      </c>
      <c r="E48" s="0" t="s">
        <v>518</v>
      </c>
      <c r="F48" s="0" t="n">
        <v>1</v>
      </c>
      <c r="G48" s="0" t="s">
        <v>394</v>
      </c>
      <c r="H48" s="0" t="s">
        <v>204</v>
      </c>
      <c r="I48" s="0" t="s">
        <v>510</v>
      </c>
      <c r="J48" s="0" t="s">
        <v>217</v>
      </c>
      <c r="K48" s="0" t="s">
        <v>396</v>
      </c>
      <c r="L48" s="0" t="n">
        <v>1.1839</v>
      </c>
      <c r="M48" s="0" t="s">
        <v>485</v>
      </c>
      <c r="N48" s="0" t="n">
        <v>0.03</v>
      </c>
      <c r="O48" s="0" t="n">
        <v>100.6315</v>
      </c>
      <c r="P48" s="0" t="n">
        <v>3.02</v>
      </c>
      <c r="Q48" s="0" t="s">
        <v>156</v>
      </c>
      <c r="R48" s="0" t="s">
        <v>218</v>
      </c>
      <c r="S48" s="0" t="n">
        <v>33</v>
      </c>
      <c r="T48" s="92" t="n">
        <v>0.723708</v>
      </c>
      <c r="U48" s="0">
        <v>2</v>
      </c>
      <c r="V48" s="0" t="s">
        <v>519</v>
      </c>
      <c r="W48" s="0" t="s">
        <v>398</v>
      </c>
      <c r="X48" s="0" t="n">
        <v>1</v>
      </c>
      <c r="Y48" s="0" t="s">
        <v>399</v>
      </c>
      <c r="Z48" s="0" t="n">
        <v>0</v>
      </c>
      <c r="AA48" s="0" t="n">
        <v>0</v>
      </c>
      <c r="AB48" s="0" t="s">
        <v>400</v>
      </c>
      <c r="AC48" s="0" t="n">
        <v>0</v>
      </c>
      <c r="AD48" s="0" t="s">
        <v>520</v>
      </c>
      <c r="AE48" s="0" t="s">
        <v>521</v>
      </c>
      <c r="AG48" s="0" t="s">
        <v>509</v>
      </c>
    </row>
    <row r="49" customFormat="false" ht="15" hidden="false" customHeight="false" outlineLevel="0" collapsed="false">
      <c r="A49" s="0" t="s">
        <v>224</v>
      </c>
      <c r="B49" s="0" t="s">
        <v>490</v>
      </c>
      <c r="C49" s="0" t="s">
        <v>483</v>
      </c>
      <c r="D49" s="0" t="s">
        <v>484</v>
      </c>
      <c r="F49" s="0" t="n">
        <v>1</v>
      </c>
      <c r="G49" s="0" t="s">
        <v>394</v>
      </c>
      <c r="H49" s="0" t="s">
        <v>153</v>
      </c>
      <c r="I49" s="0" t="s">
        <v>421</v>
      </c>
      <c r="J49" s="0" t="s">
        <v>224</v>
      </c>
      <c r="K49" s="0" t="s">
        <v>396</v>
      </c>
      <c r="L49" s="0" t="n">
        <v>1.1839</v>
      </c>
      <c r="M49" s="0" t="s">
        <v>485</v>
      </c>
      <c r="N49" s="0" t="n">
        <v>0.0325</v>
      </c>
      <c r="O49" s="0" t="n">
        <v>100.6315</v>
      </c>
      <c r="P49" s="0" t="n">
        <v>3.27</v>
      </c>
      <c r="Q49" s="0" t="s">
        <v>156</v>
      </c>
      <c r="R49" s="0" t="s">
        <v>170</v>
      </c>
      <c r="S49" s="0" t="n">
        <v>14</v>
      </c>
      <c r="T49" s="92" t="n">
        <v>0.29447</v>
      </c>
      <c r="U49" s="0" t="n">
        <v>2</v>
      </c>
      <c r="V49" s="0" t="s">
        <v>522</v>
      </c>
      <c r="W49" s="0" t="s">
        <v>398</v>
      </c>
      <c r="X49" s="0" t="n">
        <v>1</v>
      </c>
      <c r="Y49" s="0" t="s">
        <v>399</v>
      </c>
      <c r="Z49" s="0" t="n">
        <v>0</v>
      </c>
      <c r="AA49" s="0" t="n">
        <v>0</v>
      </c>
      <c r="AB49" s="0" t="s">
        <v>400</v>
      </c>
      <c r="AC49" s="0" t="n">
        <v>0</v>
      </c>
      <c r="AD49" s="0" t="s">
        <v>523</v>
      </c>
      <c r="AE49" s="0" t="s">
        <v>524</v>
      </c>
      <c r="AG49" s="0" t="s">
        <v>490</v>
      </c>
    </row>
    <row r="50" customFormat="false" ht="15" hidden="false" customHeight="false" outlineLevel="0" collapsed="false">
      <c r="A50" s="0" t="s">
        <v>224</v>
      </c>
      <c r="B50" s="0" t="s">
        <v>490</v>
      </c>
      <c r="C50" s="0" t="s">
        <v>483</v>
      </c>
      <c r="D50" s="0" t="s">
        <v>484</v>
      </c>
      <c r="F50" s="0" t="n">
        <v>2</v>
      </c>
      <c r="G50" s="0" t="s">
        <v>430</v>
      </c>
      <c r="H50" s="0" t="s">
        <v>168</v>
      </c>
      <c r="I50" s="0" t="s">
        <v>421</v>
      </c>
      <c r="J50" s="0" t="s">
        <v>224</v>
      </c>
      <c r="K50" s="0" t="s">
        <v>168</v>
      </c>
      <c r="L50" s="0" t="n">
        <v>1.2492</v>
      </c>
      <c r="M50" s="0" t="s">
        <v>485</v>
      </c>
      <c r="N50" s="0" t="n">
        <v>0.04</v>
      </c>
      <c r="O50" s="0" t="n">
        <v>106.182</v>
      </c>
      <c r="P50" s="0" t="n">
        <v>4.25</v>
      </c>
      <c r="Q50" s="0" t="s">
        <v>156</v>
      </c>
      <c r="R50" s="0" t="s">
        <v>170</v>
      </c>
      <c r="S50" s="0" t="n">
        <v>14</v>
      </c>
      <c r="T50" s="92" t="n">
        <v>0.08376</v>
      </c>
      <c r="U50" s="0" t="n">
        <v>2</v>
      </c>
      <c r="V50" s="0" t="s">
        <v>522</v>
      </c>
      <c r="W50" s="0" t="s">
        <v>398</v>
      </c>
      <c r="X50" s="0" t="n">
        <v>1</v>
      </c>
      <c r="Y50" s="0" t="s">
        <v>399</v>
      </c>
      <c r="Z50" s="0" t="n">
        <v>0</v>
      </c>
      <c r="AA50" s="0" t="n">
        <v>0</v>
      </c>
      <c r="AB50" s="0" t="s">
        <v>400</v>
      </c>
      <c r="AC50" s="0" t="n">
        <v>0</v>
      </c>
      <c r="AD50" s="0" t="s">
        <v>523</v>
      </c>
      <c r="AE50" s="0" t="s">
        <v>525</v>
      </c>
      <c r="AG50" s="0" t="s">
        <v>490</v>
      </c>
    </row>
    <row r="51" customFormat="false" ht="15" hidden="false" customHeight="false" outlineLevel="0" collapsed="false">
      <c r="A51" s="0" t="s">
        <v>526</v>
      </c>
      <c r="B51" s="0" t="s">
        <v>490</v>
      </c>
      <c r="C51" s="0" t="s">
        <v>527</v>
      </c>
      <c r="D51" s="0" t="s">
        <v>484</v>
      </c>
      <c r="F51" s="0" t="n">
        <v>1</v>
      </c>
      <c r="G51" s="0" t="s">
        <v>394</v>
      </c>
      <c r="H51" s="0" t="s">
        <v>153</v>
      </c>
      <c r="I51" s="0" t="s">
        <v>421</v>
      </c>
      <c r="J51" s="0" t="s">
        <v>227</v>
      </c>
      <c r="K51" s="0" t="s">
        <v>396</v>
      </c>
      <c r="L51" s="0" t="n">
        <v>1.1839</v>
      </c>
      <c r="M51" s="0" t="s">
        <v>485</v>
      </c>
      <c r="N51" s="0" t="n">
        <v>0.035</v>
      </c>
      <c r="O51" s="0" t="n">
        <v>100.6315</v>
      </c>
      <c r="P51" s="0" t="n">
        <v>3.52</v>
      </c>
      <c r="Q51" s="0" t="s">
        <v>156</v>
      </c>
      <c r="R51" s="0" t="s">
        <v>170</v>
      </c>
      <c r="S51" s="0" t="n">
        <v>16</v>
      </c>
      <c r="T51" s="92" t="n">
        <v>0.335173</v>
      </c>
      <c r="U51" s="0" t="n">
        <v>1</v>
      </c>
      <c r="V51" s="0" t="s">
        <v>528</v>
      </c>
      <c r="W51" s="0" t="s">
        <v>398</v>
      </c>
      <c r="X51" s="0" t="n">
        <v>1</v>
      </c>
      <c r="Y51" s="0" t="s">
        <v>399</v>
      </c>
      <c r="Z51" s="0" t="n">
        <v>0</v>
      </c>
      <c r="AA51" s="0" t="n">
        <v>1</v>
      </c>
      <c r="AB51" s="0" t="s">
        <v>400</v>
      </c>
      <c r="AC51" s="0" t="n">
        <v>0</v>
      </c>
      <c r="AD51" s="0" t="s">
        <v>529</v>
      </c>
      <c r="AE51" s="0" t="s">
        <v>530</v>
      </c>
      <c r="AG51" s="0" t="s">
        <v>490</v>
      </c>
    </row>
    <row r="52" customFormat="false" ht="15" hidden="false" customHeight="false" outlineLevel="0" collapsed="false">
      <c r="A52" s="0" t="s">
        <v>526</v>
      </c>
      <c r="B52" s="0" t="s">
        <v>531</v>
      </c>
      <c r="C52" s="0" t="s">
        <v>527</v>
      </c>
      <c r="D52" s="0" t="s">
        <v>484</v>
      </c>
      <c r="F52" s="0" t="n">
        <v>1</v>
      </c>
      <c r="G52" s="0" t="s">
        <v>394</v>
      </c>
      <c r="H52" s="0" t="s">
        <v>153</v>
      </c>
      <c r="I52" s="0" t="s">
        <v>421</v>
      </c>
      <c r="J52" s="0" t="s">
        <v>227</v>
      </c>
      <c r="K52" s="0" t="s">
        <v>396</v>
      </c>
      <c r="L52" s="0" t="n">
        <v>1.1839</v>
      </c>
      <c r="M52" s="0" t="s">
        <v>485</v>
      </c>
      <c r="N52" s="0" t="n">
        <v>0.07</v>
      </c>
      <c r="O52" s="0" t="n">
        <v>100.6315</v>
      </c>
      <c r="P52" s="0" t="n">
        <v>7.04</v>
      </c>
      <c r="Q52" s="0" t="s">
        <v>156</v>
      </c>
      <c r="R52" s="0" t="s">
        <v>170</v>
      </c>
      <c r="S52" s="0" t="n">
        <v>31</v>
      </c>
      <c r="T52" s="92" t="n">
        <v>0.313727</v>
      </c>
      <c r="U52" s="0" t="n">
        <v>1</v>
      </c>
      <c r="V52" s="0" t="s">
        <v>532</v>
      </c>
      <c r="W52" s="0" t="s">
        <v>398</v>
      </c>
      <c r="X52" s="0" t="n">
        <v>1</v>
      </c>
      <c r="Y52" s="0" t="s">
        <v>399</v>
      </c>
      <c r="Z52" s="0" t="n">
        <v>0</v>
      </c>
      <c r="AA52" s="0" t="n">
        <v>1</v>
      </c>
      <c r="AB52" s="0" t="s">
        <v>400</v>
      </c>
      <c r="AC52" s="0" t="n">
        <v>0</v>
      </c>
      <c r="AD52" s="0" t="s">
        <v>533</v>
      </c>
      <c r="AE52" s="0" t="s">
        <v>534</v>
      </c>
      <c r="AG52" s="0" t="s">
        <v>490</v>
      </c>
    </row>
    <row r="53" customFormat="false" ht="15" hidden="false" customHeight="false" outlineLevel="0" collapsed="false">
      <c r="A53" s="0" t="s">
        <v>535</v>
      </c>
      <c r="B53" s="0" t="s">
        <v>531</v>
      </c>
      <c r="C53" s="0" t="s">
        <v>483</v>
      </c>
      <c r="D53" s="0" t="s">
        <v>484</v>
      </c>
      <c r="F53" s="0" t="n">
        <v>1</v>
      </c>
      <c r="G53" s="0" t="s">
        <v>394</v>
      </c>
      <c r="H53" s="0" t="s">
        <v>153</v>
      </c>
      <c r="I53" s="0" t="s">
        <v>421</v>
      </c>
      <c r="J53" s="0" t="s">
        <v>230</v>
      </c>
      <c r="K53" s="0" t="s">
        <v>396</v>
      </c>
      <c r="L53" s="0" t="n">
        <v>1.1839</v>
      </c>
      <c r="M53" s="0" t="s">
        <v>485</v>
      </c>
      <c r="N53" s="0" t="n">
        <v>0.0275</v>
      </c>
      <c r="O53" s="0" t="n">
        <v>100.6315</v>
      </c>
      <c r="P53" s="0" t="n">
        <v>2.77</v>
      </c>
      <c r="Q53" s="0" t="s">
        <v>156</v>
      </c>
      <c r="R53" s="0" t="s">
        <v>170</v>
      </c>
      <c r="S53" s="0" t="n">
        <v>12</v>
      </c>
      <c r="T53" s="92" t="n">
        <v>0.303515</v>
      </c>
      <c r="U53" s="0" t="n">
        <v>1</v>
      </c>
      <c r="V53" s="0" t="s">
        <v>536</v>
      </c>
      <c r="W53" s="0" t="s">
        <v>398</v>
      </c>
      <c r="X53" s="0" t="n">
        <v>1</v>
      </c>
      <c r="Y53" s="0" t="s">
        <v>399</v>
      </c>
      <c r="Z53" s="0" t="n">
        <v>0</v>
      </c>
      <c r="AA53" s="0" t="n">
        <v>0</v>
      </c>
      <c r="AB53" s="0" t="s">
        <v>400</v>
      </c>
      <c r="AC53" s="0" t="n">
        <v>0</v>
      </c>
      <c r="AD53" s="0" t="s">
        <v>537</v>
      </c>
      <c r="AE53" s="0" t="s">
        <v>538</v>
      </c>
      <c r="AG53" s="0" t="s">
        <v>531</v>
      </c>
    </row>
    <row r="54" customFormat="false" ht="15" hidden="false" customHeight="false" outlineLevel="0" collapsed="false">
      <c r="A54" s="0" t="s">
        <v>345</v>
      </c>
      <c r="B54" s="0" t="s">
        <v>490</v>
      </c>
      <c r="C54" s="0" t="s">
        <v>483</v>
      </c>
      <c r="D54" s="0" t="s">
        <v>484</v>
      </c>
      <c r="F54" s="0" t="n">
        <v>1</v>
      </c>
      <c r="G54" s="0" t="s">
        <v>394</v>
      </c>
      <c r="H54" s="0" t="s">
        <v>153</v>
      </c>
      <c r="I54" s="0" t="s">
        <v>539</v>
      </c>
      <c r="J54" s="0" t="s">
        <v>233</v>
      </c>
      <c r="K54" s="0" t="s">
        <v>396</v>
      </c>
      <c r="L54" s="0" t="n">
        <v>1.1839</v>
      </c>
      <c r="M54" s="0" t="s">
        <v>485</v>
      </c>
      <c r="N54" s="0" t="n">
        <v>0.025</v>
      </c>
      <c r="O54" s="0" t="n">
        <v>100.6315</v>
      </c>
      <c r="P54" s="0" t="n">
        <v>2.52</v>
      </c>
      <c r="Q54" s="0" t="s">
        <v>156</v>
      </c>
      <c r="R54" s="0" t="s">
        <v>234</v>
      </c>
      <c r="S54" s="0" t="n">
        <v>11</v>
      </c>
      <c r="T54" s="92" t="n">
        <v>0.309271</v>
      </c>
      <c r="U54" s="0" t="n">
        <v>2</v>
      </c>
      <c r="V54" s="0" t="s">
        <v>540</v>
      </c>
      <c r="W54" s="0" t="s">
        <v>398</v>
      </c>
      <c r="X54" s="0" t="n">
        <v>1</v>
      </c>
      <c r="Y54" s="0" t="s">
        <v>399</v>
      </c>
      <c r="Z54" s="0" t="n">
        <v>0</v>
      </c>
      <c r="AA54" s="0" t="n">
        <v>0</v>
      </c>
      <c r="AB54" s="0" t="s">
        <v>400</v>
      </c>
      <c r="AC54" s="0" t="n">
        <v>0</v>
      </c>
      <c r="AD54" s="0" t="s">
        <v>541</v>
      </c>
      <c r="AE54" s="0" t="s">
        <v>542</v>
      </c>
      <c r="AG54" s="0" t="s">
        <v>490</v>
      </c>
      <c r="AH54" s="0" t="n">
        <v>1.049</v>
      </c>
    </row>
    <row r="55" customFormat="false" ht="15" hidden="false" customHeight="false" outlineLevel="0" collapsed="false">
      <c r="A55" s="0" t="s">
        <v>345</v>
      </c>
      <c r="B55" s="0" t="s">
        <v>490</v>
      </c>
      <c r="C55" s="0" t="s">
        <v>483</v>
      </c>
      <c r="D55" s="0" t="s">
        <v>484</v>
      </c>
      <c r="F55" s="0" t="n">
        <v>2</v>
      </c>
      <c r="G55" s="0" t="s">
        <v>430</v>
      </c>
      <c r="H55" s="0" t="s">
        <v>168</v>
      </c>
      <c r="I55" s="0" t="s">
        <v>539</v>
      </c>
      <c r="J55" s="0" t="s">
        <v>233</v>
      </c>
      <c r="K55" s="0" t="s">
        <v>168</v>
      </c>
      <c r="L55" s="0" t="n">
        <v>1.2492</v>
      </c>
      <c r="M55" s="0" t="s">
        <v>485</v>
      </c>
      <c r="N55" s="0" t="n">
        <v>0.03</v>
      </c>
      <c r="O55" s="0" t="n">
        <v>106.182</v>
      </c>
      <c r="P55" s="0" t="n">
        <v>3.19</v>
      </c>
      <c r="Q55" s="0" t="s">
        <v>156</v>
      </c>
      <c r="R55" s="0" t="s">
        <v>234</v>
      </c>
      <c r="S55" s="0" t="n">
        <v>11</v>
      </c>
      <c r="T55" s="92" t="n">
        <v>0.125407</v>
      </c>
      <c r="U55" s="0" t="n">
        <v>2</v>
      </c>
      <c r="V55" s="0" t="s">
        <v>540</v>
      </c>
      <c r="W55" s="0" t="s">
        <v>398</v>
      </c>
      <c r="X55" s="0" t="n">
        <v>1</v>
      </c>
      <c r="Y55" s="0" t="s">
        <v>399</v>
      </c>
      <c r="Z55" s="0" t="n">
        <v>0</v>
      </c>
      <c r="AA55" s="0" t="n">
        <v>0</v>
      </c>
      <c r="AB55" s="0" t="s">
        <v>400</v>
      </c>
      <c r="AC55" s="0" t="n">
        <v>0</v>
      </c>
      <c r="AD55" s="0" t="s">
        <v>541</v>
      </c>
      <c r="AE55" s="0" t="s">
        <v>543</v>
      </c>
      <c r="AG55" s="0" t="s">
        <v>490</v>
      </c>
      <c r="AH55" s="0" t="n">
        <v>1.049</v>
      </c>
    </row>
    <row r="56" customFormat="false" ht="15" hidden="false" customHeight="false" outlineLevel="0" collapsed="false">
      <c r="A56" s="0" t="s">
        <v>235</v>
      </c>
      <c r="B56" s="0" t="s">
        <v>478</v>
      </c>
      <c r="C56" s="0" t="s">
        <v>483</v>
      </c>
      <c r="D56" s="0" t="s">
        <v>484</v>
      </c>
      <c r="F56" s="0" t="n">
        <v>1</v>
      </c>
      <c r="G56" s="0" t="s">
        <v>394</v>
      </c>
      <c r="H56" s="0" t="s">
        <v>168</v>
      </c>
      <c r="I56" s="0" t="s">
        <v>544</v>
      </c>
      <c r="J56" s="0" t="s">
        <v>235</v>
      </c>
      <c r="K56" s="0" t="s">
        <v>168</v>
      </c>
      <c r="L56" s="0" t="n">
        <v>1.2492</v>
      </c>
      <c r="M56" s="0" t="s">
        <v>485</v>
      </c>
      <c r="N56" s="0" t="n">
        <v>0.04</v>
      </c>
      <c r="O56" s="0" t="n">
        <v>106.182</v>
      </c>
      <c r="P56" s="0" t="n">
        <v>4.25</v>
      </c>
      <c r="Q56" s="0" t="s">
        <v>156</v>
      </c>
      <c r="R56" s="0" t="s">
        <v>170</v>
      </c>
      <c r="S56" s="0" t="n">
        <v>18</v>
      </c>
      <c r="T56" s="92" t="n">
        <v>0.287369</v>
      </c>
      <c r="U56" s="0" t="n">
        <v>1</v>
      </c>
      <c r="V56" s="0" t="s">
        <v>545</v>
      </c>
      <c r="W56" s="0" t="s">
        <v>398</v>
      </c>
      <c r="X56" s="0" t="n">
        <v>1</v>
      </c>
      <c r="Y56" s="0" t="s">
        <v>399</v>
      </c>
      <c r="Z56" s="0" t="n">
        <v>0</v>
      </c>
      <c r="AA56" s="0" t="n">
        <v>0</v>
      </c>
      <c r="AB56" s="0" t="s">
        <v>400</v>
      </c>
      <c r="AC56" s="0" t="n">
        <v>0</v>
      </c>
      <c r="AD56" s="0" t="s">
        <v>546</v>
      </c>
      <c r="AE56" s="0" t="s">
        <v>547</v>
      </c>
      <c r="AG56" s="0" t="s">
        <v>478</v>
      </c>
    </row>
    <row r="57" customFormat="false" ht="15" hidden="false" customHeight="false" outlineLevel="0" collapsed="false">
      <c r="A57" s="0" t="s">
        <v>237</v>
      </c>
      <c r="B57" s="0" t="s">
        <v>478</v>
      </c>
      <c r="C57" s="0" t="s">
        <v>483</v>
      </c>
      <c r="D57" s="0" t="s">
        <v>484</v>
      </c>
      <c r="F57" s="0" t="n">
        <v>1</v>
      </c>
      <c r="G57" s="0" t="s">
        <v>394</v>
      </c>
      <c r="H57" s="0" t="s">
        <v>168</v>
      </c>
      <c r="I57" s="0" t="s">
        <v>544</v>
      </c>
      <c r="J57" s="0" t="s">
        <v>237</v>
      </c>
      <c r="K57" s="0" t="s">
        <v>168</v>
      </c>
      <c r="L57" s="0" t="n">
        <v>1.2492</v>
      </c>
      <c r="M57" s="0" t="s">
        <v>485</v>
      </c>
      <c r="N57" s="0" t="n">
        <v>0.08</v>
      </c>
      <c r="O57" s="0" t="n">
        <v>106.182</v>
      </c>
      <c r="P57" s="0" t="n">
        <v>8.49</v>
      </c>
      <c r="Q57" s="0" t="s">
        <v>156</v>
      </c>
      <c r="R57" s="0" t="s">
        <v>170</v>
      </c>
      <c r="S57" s="0" t="n">
        <v>35</v>
      </c>
      <c r="T57" s="92" t="n">
        <v>0.267008</v>
      </c>
      <c r="U57" s="0" t="n">
        <v>1</v>
      </c>
      <c r="V57" s="0" t="s">
        <v>548</v>
      </c>
      <c r="W57" s="0" t="s">
        <v>398</v>
      </c>
      <c r="X57" s="0" t="n">
        <v>1</v>
      </c>
      <c r="Y57" s="0" t="s">
        <v>399</v>
      </c>
      <c r="Z57" s="0" t="n">
        <v>0</v>
      </c>
      <c r="AA57" s="0" t="n">
        <v>0</v>
      </c>
      <c r="AB57" s="0" t="s">
        <v>400</v>
      </c>
      <c r="AC57" s="0" t="n">
        <v>0</v>
      </c>
      <c r="AD57" s="0" t="s">
        <v>549</v>
      </c>
      <c r="AE57" s="0" t="s">
        <v>550</v>
      </c>
      <c r="AG57" s="0" t="s">
        <v>478</v>
      </c>
    </row>
    <row r="58" customFormat="false" ht="15" hidden="false" customHeight="false" outlineLevel="0" collapsed="false">
      <c r="A58" s="0" t="s">
        <v>500</v>
      </c>
      <c r="B58" s="0" t="s">
        <v>531</v>
      </c>
      <c r="C58" s="0" t="s">
        <v>483</v>
      </c>
      <c r="D58" s="0" t="s">
        <v>484</v>
      </c>
      <c r="F58" s="0" t="n">
        <v>1</v>
      </c>
      <c r="G58" s="0" t="s">
        <v>394</v>
      </c>
      <c r="H58" s="0" t="s">
        <v>204</v>
      </c>
      <c r="I58" s="0" t="s">
        <v>395</v>
      </c>
      <c r="J58" s="0" t="s">
        <v>212</v>
      </c>
      <c r="K58" s="0" t="s">
        <v>396</v>
      </c>
      <c r="L58" s="0" t="n">
        <v>1.1839</v>
      </c>
      <c r="M58" s="0" t="s">
        <v>485</v>
      </c>
      <c r="N58" s="0" t="n">
        <v>0.09</v>
      </c>
      <c r="O58" s="0" t="n">
        <v>100.6315</v>
      </c>
      <c r="P58" s="0" t="n">
        <v>9.06</v>
      </c>
      <c r="Q58" s="0" t="s">
        <v>156</v>
      </c>
      <c r="R58" s="0" t="s">
        <v>206</v>
      </c>
      <c r="S58" s="0" t="n">
        <v>43</v>
      </c>
      <c r="T58" s="92" t="n">
        <v>0.363887</v>
      </c>
      <c r="U58" s="0" t="n">
        <v>1</v>
      </c>
      <c r="V58" s="0" t="s">
        <v>551</v>
      </c>
      <c r="W58" s="0" t="s">
        <v>398</v>
      </c>
      <c r="X58" s="0" t="n">
        <v>1</v>
      </c>
      <c r="Y58" s="0" t="s">
        <v>399</v>
      </c>
      <c r="Z58" s="0" t="n">
        <v>0</v>
      </c>
      <c r="AA58" s="0" t="n">
        <v>0</v>
      </c>
      <c r="AB58" s="0" t="s">
        <v>400</v>
      </c>
      <c r="AC58" s="0" t="n">
        <v>0</v>
      </c>
      <c r="AD58" s="0" t="s">
        <v>552</v>
      </c>
      <c r="AE58" s="0" t="s">
        <v>553</v>
      </c>
      <c r="AG58" s="0" t="s">
        <v>490</v>
      </c>
    </row>
    <row r="59" customFormat="false" ht="15" hidden="false" customHeight="false" outlineLevel="0" collapsed="false">
      <c r="A59" s="0" t="s">
        <v>489</v>
      </c>
      <c r="B59" s="0" t="s">
        <v>531</v>
      </c>
      <c r="C59" s="0" t="s">
        <v>483</v>
      </c>
      <c r="D59" s="0" t="s">
        <v>484</v>
      </c>
      <c r="F59" s="0" t="n">
        <v>1</v>
      </c>
      <c r="G59" s="0" t="s">
        <v>394</v>
      </c>
      <c r="H59" s="0" t="s">
        <v>204</v>
      </c>
      <c r="I59" s="0" t="s">
        <v>395</v>
      </c>
      <c r="J59" s="0" t="s">
        <v>209</v>
      </c>
      <c r="K59" s="0" t="s">
        <v>396</v>
      </c>
      <c r="L59" s="0" t="n">
        <v>1.1839</v>
      </c>
      <c r="M59" s="0" t="s">
        <v>485</v>
      </c>
      <c r="N59" s="0" t="n">
        <v>0.055</v>
      </c>
      <c r="O59" s="0" t="n">
        <v>100.6315</v>
      </c>
      <c r="P59" s="0" t="n">
        <v>5.53</v>
      </c>
      <c r="Q59" s="0" t="s">
        <v>156</v>
      </c>
      <c r="R59" s="0" t="s">
        <v>170</v>
      </c>
      <c r="S59" s="0" t="n">
        <v>23</v>
      </c>
      <c r="T59" s="92" t="n">
        <v>0.273233</v>
      </c>
      <c r="U59" s="0" t="n">
        <v>2</v>
      </c>
      <c r="V59" s="0" t="s">
        <v>554</v>
      </c>
      <c r="W59" s="0" t="s">
        <v>398</v>
      </c>
      <c r="X59" s="0" t="n">
        <v>1</v>
      </c>
      <c r="Y59" s="0" t="s">
        <v>399</v>
      </c>
      <c r="Z59" s="0" t="n">
        <v>0</v>
      </c>
      <c r="AA59" s="0" t="n">
        <v>0</v>
      </c>
      <c r="AB59" s="0" t="s">
        <v>400</v>
      </c>
      <c r="AC59" s="0" t="n">
        <v>0</v>
      </c>
      <c r="AD59" s="0" t="s">
        <v>555</v>
      </c>
      <c r="AE59" s="0" t="s">
        <v>556</v>
      </c>
      <c r="AG59" s="0" t="s">
        <v>490</v>
      </c>
    </row>
    <row r="60" customFormat="false" ht="15" hidden="false" customHeight="false" outlineLevel="0" collapsed="false">
      <c r="A60" s="0" t="s">
        <v>489</v>
      </c>
      <c r="B60" s="0" t="s">
        <v>531</v>
      </c>
      <c r="C60" s="0" t="s">
        <v>483</v>
      </c>
      <c r="D60" s="0" t="s">
        <v>484</v>
      </c>
      <c r="F60" s="0" t="n">
        <v>2</v>
      </c>
      <c r="G60" s="0" t="s">
        <v>430</v>
      </c>
      <c r="H60" s="0" t="s">
        <v>153</v>
      </c>
      <c r="I60" s="0" t="s">
        <v>395</v>
      </c>
      <c r="J60" s="0" t="s">
        <v>209</v>
      </c>
      <c r="K60" s="0" t="s">
        <v>396</v>
      </c>
      <c r="L60" s="0" t="n">
        <v>1.1839</v>
      </c>
      <c r="M60" s="0" t="s">
        <v>485</v>
      </c>
      <c r="N60" s="0" t="n">
        <v>0.06</v>
      </c>
      <c r="O60" s="0" t="n">
        <v>100.6315</v>
      </c>
      <c r="P60" s="0" t="n">
        <v>6.04</v>
      </c>
      <c r="Q60" s="0" t="s">
        <v>156</v>
      </c>
      <c r="R60" s="0" t="s">
        <v>170</v>
      </c>
      <c r="S60" s="0" t="n">
        <v>23</v>
      </c>
      <c r="T60" s="92" t="n">
        <v>0.207163</v>
      </c>
      <c r="U60" s="0" t="n">
        <v>2</v>
      </c>
      <c r="V60" s="0" t="s">
        <v>554</v>
      </c>
      <c r="W60" s="0" t="s">
        <v>398</v>
      </c>
      <c r="X60" s="0" t="n">
        <v>1</v>
      </c>
      <c r="Y60" s="0" t="s">
        <v>399</v>
      </c>
      <c r="Z60" s="0" t="n">
        <v>0</v>
      </c>
      <c r="AA60" s="0" t="n">
        <v>0</v>
      </c>
      <c r="AB60" s="0" t="s">
        <v>400</v>
      </c>
      <c r="AC60" s="0" t="n">
        <v>0</v>
      </c>
      <c r="AD60" s="0" t="s">
        <v>555</v>
      </c>
      <c r="AE60" s="0" t="s">
        <v>557</v>
      </c>
      <c r="AG60" s="0" t="s">
        <v>490</v>
      </c>
    </row>
    <row r="61" customFormat="false" ht="15" hidden="false" customHeight="false" outlineLevel="0" collapsed="false">
      <c r="A61" s="0" t="s">
        <v>489</v>
      </c>
      <c r="B61" s="0" t="s">
        <v>419</v>
      </c>
      <c r="C61" s="0" t="s">
        <v>483</v>
      </c>
      <c r="D61" s="0" t="s">
        <v>484</v>
      </c>
      <c r="F61" s="0" t="n">
        <v>1</v>
      </c>
      <c r="G61" s="0" t="s">
        <v>394</v>
      </c>
      <c r="H61" s="0" t="s">
        <v>204</v>
      </c>
      <c r="I61" s="0" t="s">
        <v>395</v>
      </c>
      <c r="J61" s="0" t="s">
        <v>209</v>
      </c>
      <c r="K61" s="0" t="s">
        <v>396</v>
      </c>
      <c r="L61" s="0" t="n">
        <v>1.1839</v>
      </c>
      <c r="M61" s="0" t="s">
        <v>485</v>
      </c>
      <c r="N61" s="0" t="n">
        <v>0.055</v>
      </c>
      <c r="O61" s="0" t="n">
        <v>100.6315</v>
      </c>
      <c r="P61" s="0" t="n">
        <v>5.53</v>
      </c>
      <c r="Q61" s="0" t="s">
        <v>156</v>
      </c>
      <c r="R61" s="0" t="s">
        <v>170</v>
      </c>
      <c r="S61" s="0" t="n">
        <v>28</v>
      </c>
      <c r="T61" s="92" t="n">
        <v>0.403013</v>
      </c>
      <c r="U61" s="0" t="n">
        <v>2</v>
      </c>
      <c r="V61" s="0" t="s">
        <v>558</v>
      </c>
      <c r="W61" s="0" t="s">
        <v>398</v>
      </c>
      <c r="X61" s="0" t="n">
        <v>1</v>
      </c>
      <c r="Y61" s="0" t="s">
        <v>399</v>
      </c>
      <c r="Z61" s="0" t="n">
        <v>0</v>
      </c>
      <c r="AA61" s="0" t="n">
        <v>0</v>
      </c>
      <c r="AB61" s="0" t="s">
        <v>400</v>
      </c>
      <c r="AC61" s="0" t="n">
        <v>0</v>
      </c>
      <c r="AD61" s="0" t="s">
        <v>559</v>
      </c>
      <c r="AE61" s="0" t="s">
        <v>560</v>
      </c>
      <c r="AG61" s="0" t="s">
        <v>490</v>
      </c>
    </row>
    <row r="62" customFormat="false" ht="15" hidden="false" customHeight="false" outlineLevel="0" collapsed="false">
      <c r="A62" s="0" t="s">
        <v>489</v>
      </c>
      <c r="B62" s="0" t="s">
        <v>419</v>
      </c>
      <c r="C62" s="0" t="s">
        <v>483</v>
      </c>
      <c r="D62" s="0" t="s">
        <v>484</v>
      </c>
      <c r="F62" s="0" t="n">
        <v>2</v>
      </c>
      <c r="G62" s="0" t="s">
        <v>430</v>
      </c>
      <c r="H62" s="0" t="s">
        <v>153</v>
      </c>
      <c r="I62" s="0" t="s">
        <v>395</v>
      </c>
      <c r="J62" s="0" t="s">
        <v>209</v>
      </c>
      <c r="K62" s="0" t="s">
        <v>396</v>
      </c>
      <c r="L62" s="0" t="n">
        <v>1.1839</v>
      </c>
      <c r="M62" s="0" t="s">
        <v>485</v>
      </c>
      <c r="N62" s="0" t="n">
        <v>0.09</v>
      </c>
      <c r="O62" s="0" t="n">
        <v>100.6315</v>
      </c>
      <c r="P62" s="0" t="n">
        <v>9.06</v>
      </c>
      <c r="Q62" s="0" t="s">
        <v>156</v>
      </c>
      <c r="R62" s="0" t="s">
        <v>170</v>
      </c>
      <c r="S62" s="0" t="n">
        <v>28</v>
      </c>
      <c r="T62" s="92" t="n">
        <v>0.023112</v>
      </c>
      <c r="U62" s="0" t="n">
        <v>2</v>
      </c>
      <c r="V62" s="0" t="s">
        <v>558</v>
      </c>
      <c r="W62" s="0" t="s">
        <v>398</v>
      </c>
      <c r="X62" s="0" t="n">
        <v>1</v>
      </c>
      <c r="Y62" s="0" t="s">
        <v>399</v>
      </c>
      <c r="Z62" s="0" t="n">
        <v>0</v>
      </c>
      <c r="AA62" s="0" t="n">
        <v>0</v>
      </c>
      <c r="AB62" s="0" t="s">
        <v>400</v>
      </c>
      <c r="AC62" s="0" t="n">
        <v>0</v>
      </c>
      <c r="AD62" s="0" t="s">
        <v>559</v>
      </c>
      <c r="AE62" s="0" t="s">
        <v>561</v>
      </c>
      <c r="AG62" s="0" t="s">
        <v>490</v>
      </c>
    </row>
    <row r="63" customFormat="false" ht="15" hidden="false" customHeight="false" outlineLevel="0" collapsed="false">
      <c r="A63" s="0" t="s">
        <v>224</v>
      </c>
      <c r="B63" s="0" t="s">
        <v>531</v>
      </c>
      <c r="C63" s="0" t="s">
        <v>483</v>
      </c>
      <c r="D63" s="0" t="s">
        <v>484</v>
      </c>
      <c r="F63" s="0" t="n">
        <v>1</v>
      </c>
      <c r="G63" s="0" t="s">
        <v>394</v>
      </c>
      <c r="H63" s="0" t="s">
        <v>153</v>
      </c>
      <c r="I63" s="0" t="s">
        <v>421</v>
      </c>
      <c r="J63" s="0" t="s">
        <v>224</v>
      </c>
      <c r="K63" s="0" t="s">
        <v>396</v>
      </c>
      <c r="L63" s="0" t="n">
        <v>1.1839</v>
      </c>
      <c r="M63" s="0" t="s">
        <v>485</v>
      </c>
      <c r="N63" s="0" t="n">
        <v>0.0325</v>
      </c>
      <c r="O63" s="0" t="n">
        <v>100.6315</v>
      </c>
      <c r="P63" s="0" t="n">
        <v>3.27</v>
      </c>
      <c r="Q63" s="0" t="s">
        <v>156</v>
      </c>
      <c r="R63" s="0" t="s">
        <v>170</v>
      </c>
      <c r="S63" s="0" t="n">
        <v>17</v>
      </c>
      <c r="T63" s="92" t="n">
        <v>0.418975</v>
      </c>
      <c r="U63" s="0" t="n">
        <v>2</v>
      </c>
      <c r="V63" s="0" t="s">
        <v>562</v>
      </c>
      <c r="W63" s="0" t="s">
        <v>398</v>
      </c>
      <c r="X63" s="0" t="n">
        <v>1</v>
      </c>
      <c r="Y63" s="0" t="s">
        <v>399</v>
      </c>
      <c r="Z63" s="0" t="n">
        <v>0</v>
      </c>
      <c r="AA63" s="0" t="n">
        <v>0</v>
      </c>
      <c r="AB63" s="0" t="s">
        <v>400</v>
      </c>
      <c r="AC63" s="0" t="n">
        <v>0</v>
      </c>
      <c r="AD63" s="0" t="s">
        <v>563</v>
      </c>
      <c r="AE63" s="0" t="s">
        <v>564</v>
      </c>
      <c r="AG63" s="0" t="s">
        <v>490</v>
      </c>
    </row>
    <row r="64" customFormat="false" ht="15" hidden="false" customHeight="false" outlineLevel="0" collapsed="false">
      <c r="A64" s="0" t="s">
        <v>224</v>
      </c>
      <c r="B64" s="0" t="s">
        <v>531</v>
      </c>
      <c r="C64" s="0" t="s">
        <v>483</v>
      </c>
      <c r="D64" s="0" t="s">
        <v>484</v>
      </c>
      <c r="F64" s="0" t="n">
        <v>2</v>
      </c>
      <c r="G64" s="0" t="s">
        <v>430</v>
      </c>
      <c r="H64" s="0" t="s">
        <v>168</v>
      </c>
      <c r="I64" s="0" t="s">
        <v>421</v>
      </c>
      <c r="J64" s="0" t="s">
        <v>224</v>
      </c>
      <c r="K64" s="0" t="s">
        <v>168</v>
      </c>
      <c r="L64" s="0" t="n">
        <v>1.2492</v>
      </c>
      <c r="M64" s="0" t="s">
        <v>485</v>
      </c>
      <c r="N64" s="0" t="n">
        <v>0.04</v>
      </c>
      <c r="O64" s="0" t="n">
        <v>106.182</v>
      </c>
      <c r="P64" s="0" t="n">
        <v>4.25</v>
      </c>
      <c r="Q64" s="0" t="s">
        <v>156</v>
      </c>
      <c r="R64" s="0" t="s">
        <v>170</v>
      </c>
      <c r="S64" s="0" t="n">
        <v>17</v>
      </c>
      <c r="T64" s="92" t="n">
        <v>0.245449</v>
      </c>
      <c r="U64" s="0" t="n">
        <v>2</v>
      </c>
      <c r="V64" s="0" t="s">
        <v>562</v>
      </c>
      <c r="W64" s="0" t="s">
        <v>398</v>
      </c>
      <c r="X64" s="0" t="n">
        <v>1</v>
      </c>
      <c r="Y64" s="0" t="s">
        <v>399</v>
      </c>
      <c r="Z64" s="0" t="n">
        <v>0</v>
      </c>
      <c r="AA64" s="0" t="n">
        <v>0</v>
      </c>
      <c r="AB64" s="0" t="s">
        <v>400</v>
      </c>
      <c r="AC64" s="0" t="n">
        <v>0</v>
      </c>
      <c r="AD64" s="0" t="s">
        <v>563</v>
      </c>
      <c r="AE64" s="0" t="s">
        <v>565</v>
      </c>
      <c r="AG64" s="0" t="s">
        <v>490</v>
      </c>
    </row>
    <row r="65" customFormat="false" ht="15" hidden="false" customHeight="false" outlineLevel="0" collapsed="false">
      <c r="A65" s="0" t="s">
        <v>224</v>
      </c>
      <c r="B65" s="0" t="s">
        <v>419</v>
      </c>
      <c r="C65" s="0" t="s">
        <v>483</v>
      </c>
      <c r="D65" s="0" t="s">
        <v>484</v>
      </c>
      <c r="F65" s="0" t="n">
        <v>1</v>
      </c>
      <c r="G65" s="0" t="s">
        <v>394</v>
      </c>
      <c r="H65" s="0" t="s">
        <v>153</v>
      </c>
      <c r="I65" s="0" t="s">
        <v>421</v>
      </c>
      <c r="J65" s="0" t="s">
        <v>224</v>
      </c>
      <c r="K65" s="0" t="s">
        <v>396</v>
      </c>
      <c r="L65" s="0" t="n">
        <v>1.1839</v>
      </c>
      <c r="M65" s="0" t="s">
        <v>485</v>
      </c>
      <c r="N65" s="0" t="n">
        <v>0.0325</v>
      </c>
      <c r="O65" s="0" t="n">
        <v>100.6315</v>
      </c>
      <c r="P65" s="0" t="n">
        <v>3.27</v>
      </c>
      <c r="Q65" s="0" t="s">
        <v>156</v>
      </c>
      <c r="R65" s="0" t="s">
        <v>170</v>
      </c>
      <c r="S65" s="0" t="n">
        <v>20</v>
      </c>
      <c r="T65" s="92" t="n">
        <v>0.506129</v>
      </c>
      <c r="U65" s="0" t="n">
        <v>2</v>
      </c>
      <c r="V65" s="0" t="s">
        <v>566</v>
      </c>
      <c r="W65" s="0" t="s">
        <v>398</v>
      </c>
      <c r="X65" s="0" t="n">
        <v>1</v>
      </c>
      <c r="Y65" s="0" t="s">
        <v>399</v>
      </c>
      <c r="Z65" s="0" t="n">
        <v>0</v>
      </c>
      <c r="AA65" s="0" t="n">
        <v>0</v>
      </c>
      <c r="AB65" s="0" t="s">
        <v>400</v>
      </c>
      <c r="AC65" s="0" t="n">
        <v>0</v>
      </c>
      <c r="AD65" s="0" t="s">
        <v>567</v>
      </c>
      <c r="AE65" s="0" t="s">
        <v>568</v>
      </c>
      <c r="AG65" s="0" t="s">
        <v>490</v>
      </c>
    </row>
    <row r="66" customFormat="false" ht="15" hidden="false" customHeight="false" outlineLevel="0" collapsed="false">
      <c r="A66" s="0" t="s">
        <v>224</v>
      </c>
      <c r="B66" s="0" t="s">
        <v>419</v>
      </c>
      <c r="C66" s="0" t="s">
        <v>483</v>
      </c>
      <c r="D66" s="0" t="s">
        <v>484</v>
      </c>
      <c r="F66" s="0" t="n">
        <v>2</v>
      </c>
      <c r="G66" s="0" t="s">
        <v>430</v>
      </c>
      <c r="H66" s="0" t="s">
        <v>168</v>
      </c>
      <c r="I66" s="0" t="s">
        <v>421</v>
      </c>
      <c r="J66" s="0" t="s">
        <v>224</v>
      </c>
      <c r="K66" s="0" t="s">
        <v>168</v>
      </c>
      <c r="L66" s="0" t="n">
        <v>1.2492</v>
      </c>
      <c r="M66" s="0" t="s">
        <v>485</v>
      </c>
      <c r="N66" s="0" t="n">
        <v>0.04</v>
      </c>
      <c r="O66" s="0" t="n">
        <v>106.182</v>
      </c>
      <c r="P66" s="0" t="n">
        <v>4.25</v>
      </c>
      <c r="Q66" s="0" t="s">
        <v>156</v>
      </c>
      <c r="R66" s="0" t="s">
        <v>170</v>
      </c>
      <c r="S66" s="0" t="n">
        <v>20</v>
      </c>
      <c r="T66" s="92" t="n">
        <v>0.358632</v>
      </c>
      <c r="U66" s="0" t="n">
        <v>2</v>
      </c>
      <c r="V66" s="0" t="s">
        <v>566</v>
      </c>
      <c r="W66" s="0" t="s">
        <v>398</v>
      </c>
      <c r="X66" s="0" t="n">
        <v>1</v>
      </c>
      <c r="Y66" s="0" t="s">
        <v>399</v>
      </c>
      <c r="Z66" s="0" t="n">
        <v>0</v>
      </c>
      <c r="AA66" s="0" t="n">
        <v>0</v>
      </c>
      <c r="AB66" s="0" t="s">
        <v>400</v>
      </c>
      <c r="AC66" s="0" t="n">
        <v>0</v>
      </c>
      <c r="AD66" s="0" t="s">
        <v>567</v>
      </c>
      <c r="AE66" s="0" t="s">
        <v>569</v>
      </c>
      <c r="AG66" s="0" t="s">
        <v>490</v>
      </c>
    </row>
    <row r="67" customFormat="false" ht="15" hidden="false" customHeight="false" outlineLevel="0" collapsed="false">
      <c r="A67" s="0" t="s">
        <v>535</v>
      </c>
      <c r="B67" s="0" t="s">
        <v>570</v>
      </c>
      <c r="C67" s="0" t="s">
        <v>483</v>
      </c>
      <c r="D67" s="0" t="s">
        <v>484</v>
      </c>
      <c r="F67" s="0" t="n">
        <v>1</v>
      </c>
      <c r="G67" s="0" t="s">
        <v>394</v>
      </c>
      <c r="H67" s="0" t="s">
        <v>153</v>
      </c>
      <c r="I67" s="0" t="s">
        <v>421</v>
      </c>
      <c r="J67" s="0" t="s">
        <v>230</v>
      </c>
      <c r="K67" s="0" t="s">
        <v>396</v>
      </c>
      <c r="L67" s="0" t="n">
        <v>1.1839</v>
      </c>
      <c r="M67" s="0" t="s">
        <v>485</v>
      </c>
      <c r="N67" s="0" t="n">
        <v>0.0275</v>
      </c>
      <c r="O67" s="0" t="n">
        <v>100.6315</v>
      </c>
      <c r="P67" s="0" t="n">
        <v>2.77</v>
      </c>
      <c r="Q67" s="0" t="s">
        <v>156</v>
      </c>
      <c r="R67" s="0" t="s">
        <v>170</v>
      </c>
      <c r="S67" s="0" t="n">
        <v>14</v>
      </c>
      <c r="T67" s="92" t="n">
        <v>0.403013</v>
      </c>
      <c r="U67" s="0" t="n">
        <v>1</v>
      </c>
      <c r="V67" s="0" t="s">
        <v>571</v>
      </c>
      <c r="W67" s="0" t="s">
        <v>398</v>
      </c>
      <c r="X67" s="0" t="n">
        <v>1</v>
      </c>
      <c r="Y67" s="0" t="s">
        <v>399</v>
      </c>
      <c r="Z67" s="0" t="n">
        <v>0</v>
      </c>
      <c r="AA67" s="0" t="n">
        <v>0</v>
      </c>
      <c r="AB67" s="0" t="s">
        <v>400</v>
      </c>
      <c r="AC67" s="0" t="n">
        <v>0</v>
      </c>
      <c r="AD67" s="0" t="s">
        <v>572</v>
      </c>
      <c r="AE67" s="0" t="s">
        <v>573</v>
      </c>
      <c r="AG67" s="0" t="s">
        <v>531</v>
      </c>
    </row>
    <row r="68" customFormat="false" ht="15" hidden="false" customHeight="false" outlineLevel="0" collapsed="false">
      <c r="A68" s="0" t="s">
        <v>535</v>
      </c>
      <c r="B68" s="0" t="s">
        <v>419</v>
      </c>
      <c r="C68" s="0" t="s">
        <v>483</v>
      </c>
      <c r="D68" s="0" t="s">
        <v>484</v>
      </c>
      <c r="F68" s="0" t="n">
        <v>1</v>
      </c>
      <c r="G68" s="0" t="s">
        <v>394</v>
      </c>
      <c r="H68" s="0" t="s">
        <v>153</v>
      </c>
      <c r="I68" s="0" t="s">
        <v>421</v>
      </c>
      <c r="J68" s="0" t="s">
        <v>230</v>
      </c>
      <c r="K68" s="0" t="s">
        <v>396</v>
      </c>
      <c r="L68" s="0" t="n">
        <v>1.1839</v>
      </c>
      <c r="M68" s="0" t="s">
        <v>485</v>
      </c>
      <c r="N68" s="0" t="n">
        <v>0.0275</v>
      </c>
      <c r="O68" s="0" t="n">
        <v>100.6315</v>
      </c>
      <c r="P68" s="0" t="n">
        <v>2.77</v>
      </c>
      <c r="Q68" s="0" t="s">
        <v>156</v>
      </c>
      <c r="R68" s="0" t="s">
        <v>170</v>
      </c>
      <c r="S68" s="0" t="n">
        <v>17</v>
      </c>
      <c r="T68" s="92" t="n">
        <v>0.508364</v>
      </c>
      <c r="U68" s="0" t="n">
        <v>1</v>
      </c>
      <c r="V68" s="0" t="s">
        <v>574</v>
      </c>
      <c r="W68" s="0" t="s">
        <v>398</v>
      </c>
      <c r="X68" s="0" t="n">
        <v>1</v>
      </c>
      <c r="Y68" s="0" t="s">
        <v>399</v>
      </c>
      <c r="Z68" s="0" t="n">
        <v>0</v>
      </c>
      <c r="AA68" s="0" t="n">
        <v>0</v>
      </c>
      <c r="AB68" s="0" t="s">
        <v>400</v>
      </c>
      <c r="AC68" s="0" t="n">
        <v>0</v>
      </c>
      <c r="AD68" s="0" t="s">
        <v>575</v>
      </c>
      <c r="AE68" s="0" t="s">
        <v>576</v>
      </c>
      <c r="AG68" s="0" t="s">
        <v>531</v>
      </c>
    </row>
    <row r="69" customFormat="false" ht="15" hidden="false" customHeight="false" outlineLevel="0" collapsed="false">
      <c r="A69" s="0" t="s">
        <v>449</v>
      </c>
      <c r="B69" s="0" t="s">
        <v>392</v>
      </c>
      <c r="C69" s="0" t="s">
        <v>577</v>
      </c>
      <c r="D69" s="0" t="s">
        <v>420</v>
      </c>
      <c r="F69" s="0" t="n">
        <v>1</v>
      </c>
      <c r="G69" s="0" t="s">
        <v>394</v>
      </c>
      <c r="H69" s="0" t="s">
        <v>168</v>
      </c>
      <c r="I69" s="0" t="s">
        <v>450</v>
      </c>
      <c r="J69" s="0" t="s">
        <v>177</v>
      </c>
      <c r="K69" s="0" t="s">
        <v>168</v>
      </c>
      <c r="L69" s="0" t="n">
        <v>1.2492</v>
      </c>
      <c r="M69" s="0" t="s">
        <v>422</v>
      </c>
      <c r="N69" s="0" t="n">
        <v>0.0988</v>
      </c>
      <c r="O69" s="0" t="n">
        <v>106.182</v>
      </c>
      <c r="P69" s="0" t="n">
        <v>52.45</v>
      </c>
      <c r="Q69" s="0" t="s">
        <v>156</v>
      </c>
      <c r="R69" s="0" t="s">
        <v>170</v>
      </c>
      <c r="S69" s="0" t="n">
        <v>212</v>
      </c>
      <c r="T69" s="92" t="n">
        <v>0.252746</v>
      </c>
      <c r="U69" s="0" t="n">
        <v>2</v>
      </c>
      <c r="V69" s="0" t="s">
        <v>578</v>
      </c>
      <c r="W69" s="0" t="s">
        <v>398</v>
      </c>
      <c r="X69" s="0" t="n">
        <v>5</v>
      </c>
      <c r="Y69" s="0" t="s">
        <v>399</v>
      </c>
      <c r="Z69" s="0" t="n">
        <v>0</v>
      </c>
      <c r="AA69" s="0" t="n">
        <v>0</v>
      </c>
      <c r="AB69" s="0" t="s">
        <v>400</v>
      </c>
      <c r="AC69" s="0" t="n">
        <v>0</v>
      </c>
      <c r="AD69" s="0" t="s">
        <v>579</v>
      </c>
      <c r="AE69" s="0" t="s">
        <v>580</v>
      </c>
      <c r="AG69" s="0" t="s">
        <v>392</v>
      </c>
    </row>
    <row r="70" customFormat="false" ht="15" hidden="false" customHeight="false" outlineLevel="0" collapsed="false">
      <c r="A70" s="0" t="s">
        <v>449</v>
      </c>
      <c r="B70" s="0" t="s">
        <v>392</v>
      </c>
      <c r="C70" s="0" t="s">
        <v>577</v>
      </c>
      <c r="D70" s="0" t="s">
        <v>420</v>
      </c>
      <c r="F70" s="0" t="n">
        <v>2</v>
      </c>
      <c r="G70" s="0" t="s">
        <v>430</v>
      </c>
      <c r="H70" s="0" t="s">
        <v>153</v>
      </c>
      <c r="I70" s="0" t="s">
        <v>450</v>
      </c>
      <c r="J70" s="0" t="s">
        <v>177</v>
      </c>
      <c r="K70" s="0" t="s">
        <v>396</v>
      </c>
      <c r="L70" s="0" t="n">
        <v>1.1839</v>
      </c>
      <c r="M70" s="0" t="s">
        <v>422</v>
      </c>
      <c r="N70" s="0" t="n">
        <v>0.1125</v>
      </c>
      <c r="O70" s="0" t="n">
        <v>100.6315</v>
      </c>
      <c r="P70" s="0" t="n">
        <v>56.61</v>
      </c>
      <c r="Q70" s="0" t="s">
        <v>156</v>
      </c>
      <c r="R70" s="0" t="s">
        <v>170</v>
      </c>
      <c r="S70" s="0" t="n">
        <v>212</v>
      </c>
      <c r="T70" s="92" t="n">
        <v>0.193607</v>
      </c>
      <c r="U70" s="0" t="n">
        <v>2</v>
      </c>
      <c r="V70" s="0" t="s">
        <v>578</v>
      </c>
      <c r="W70" s="0" t="s">
        <v>398</v>
      </c>
      <c r="X70" s="0" t="n">
        <v>5</v>
      </c>
      <c r="Y70" s="0" t="s">
        <v>399</v>
      </c>
      <c r="Z70" s="0" t="n">
        <v>0</v>
      </c>
      <c r="AA70" s="0" t="n">
        <v>0</v>
      </c>
      <c r="AB70" s="0" t="s">
        <v>400</v>
      </c>
      <c r="AC70" s="0" t="n">
        <v>0</v>
      </c>
      <c r="AD70" s="0" t="s">
        <v>579</v>
      </c>
      <c r="AE70" s="0" t="s">
        <v>581</v>
      </c>
      <c r="AG70" s="0" t="s">
        <v>392</v>
      </c>
    </row>
    <row r="71" customFormat="false" ht="15" hidden="false" customHeight="false" outlineLevel="0" collapsed="false">
      <c r="A71" s="0" t="s">
        <v>449</v>
      </c>
      <c r="B71" s="0" t="s">
        <v>403</v>
      </c>
      <c r="C71" s="0" t="s">
        <v>577</v>
      </c>
      <c r="D71" s="0" t="s">
        <v>420</v>
      </c>
      <c r="F71" s="0" t="n">
        <v>1</v>
      </c>
      <c r="G71" s="0" t="s">
        <v>394</v>
      </c>
      <c r="H71" s="0" t="s">
        <v>168</v>
      </c>
      <c r="I71" s="0" t="s">
        <v>450</v>
      </c>
      <c r="J71" s="0" t="s">
        <v>177</v>
      </c>
      <c r="K71" s="0" t="s">
        <v>168</v>
      </c>
      <c r="L71" s="0" t="n">
        <v>1.2492</v>
      </c>
      <c r="M71" s="0" t="s">
        <v>422</v>
      </c>
      <c r="N71" s="0" t="n">
        <v>0.1278</v>
      </c>
      <c r="O71" s="0" t="n">
        <v>106.182</v>
      </c>
      <c r="P71" s="0" t="n">
        <v>67.85</v>
      </c>
      <c r="Q71" s="0" t="s">
        <v>156</v>
      </c>
      <c r="R71" s="0" t="s">
        <v>170</v>
      </c>
      <c r="S71" s="0" t="n">
        <v>274</v>
      </c>
      <c r="T71" s="92" t="n">
        <v>0.252127</v>
      </c>
      <c r="U71" s="0" t="n">
        <v>2</v>
      </c>
      <c r="V71" s="0" t="s">
        <v>582</v>
      </c>
      <c r="W71" s="0" t="s">
        <v>398</v>
      </c>
      <c r="X71" s="0" t="n">
        <v>5</v>
      </c>
      <c r="Y71" s="0" t="s">
        <v>399</v>
      </c>
      <c r="Z71" s="0" t="n">
        <v>0</v>
      </c>
      <c r="AA71" s="0" t="n">
        <v>0</v>
      </c>
      <c r="AB71" s="0" t="s">
        <v>400</v>
      </c>
      <c r="AC71" s="0" t="n">
        <v>0</v>
      </c>
      <c r="AD71" s="0" t="s">
        <v>583</v>
      </c>
      <c r="AE71" s="0" t="s">
        <v>584</v>
      </c>
      <c r="AG71" s="0" t="s">
        <v>392</v>
      </c>
    </row>
    <row r="72" customFormat="false" ht="15" hidden="false" customHeight="false" outlineLevel="0" collapsed="false">
      <c r="A72" s="0" t="s">
        <v>449</v>
      </c>
      <c r="B72" s="0" t="s">
        <v>403</v>
      </c>
      <c r="C72" s="0" t="s">
        <v>577</v>
      </c>
      <c r="D72" s="0" t="s">
        <v>420</v>
      </c>
      <c r="F72" s="0" t="n">
        <v>2</v>
      </c>
      <c r="G72" s="0" t="s">
        <v>430</v>
      </c>
      <c r="H72" s="0" t="s">
        <v>153</v>
      </c>
      <c r="I72" s="0" t="s">
        <v>450</v>
      </c>
      <c r="J72" s="0" t="s">
        <v>177</v>
      </c>
      <c r="K72" s="0" t="s">
        <v>396</v>
      </c>
      <c r="L72" s="0" t="n">
        <v>1.1839</v>
      </c>
      <c r="M72" s="0" t="s">
        <v>422</v>
      </c>
      <c r="N72" s="0" t="n">
        <v>0.145</v>
      </c>
      <c r="O72" s="0" t="n">
        <v>100.6315</v>
      </c>
      <c r="P72" s="0" t="n">
        <v>72.96</v>
      </c>
      <c r="Q72" s="0" t="s">
        <v>156</v>
      </c>
      <c r="R72" s="0" t="s">
        <v>170</v>
      </c>
      <c r="S72" s="0" t="n">
        <v>274</v>
      </c>
      <c r="T72" s="92" t="n">
        <v>0.19583</v>
      </c>
      <c r="U72" s="0" t="n">
        <v>2</v>
      </c>
      <c r="V72" s="0" t="s">
        <v>582</v>
      </c>
      <c r="W72" s="0" t="s">
        <v>398</v>
      </c>
      <c r="X72" s="0" t="n">
        <v>5</v>
      </c>
      <c r="Y72" s="0" t="s">
        <v>399</v>
      </c>
      <c r="Z72" s="0" t="n">
        <v>0</v>
      </c>
      <c r="AA72" s="0" t="n">
        <v>0</v>
      </c>
      <c r="AB72" s="0" t="s">
        <v>400</v>
      </c>
      <c r="AC72" s="0" t="n">
        <v>0</v>
      </c>
      <c r="AD72" s="0" t="s">
        <v>583</v>
      </c>
      <c r="AE72" s="0" t="s">
        <v>585</v>
      </c>
      <c r="AG72" s="0" t="s">
        <v>392</v>
      </c>
    </row>
    <row r="73" customFormat="false" ht="15" hidden="false" customHeight="false" outlineLevel="0" collapsed="false">
      <c r="A73" s="0" t="s">
        <v>449</v>
      </c>
      <c r="B73" s="0" t="s">
        <v>392</v>
      </c>
      <c r="C73" s="0" t="s">
        <v>586</v>
      </c>
      <c r="D73" s="0" t="s">
        <v>420</v>
      </c>
      <c r="F73" s="0" t="n">
        <v>1</v>
      </c>
      <c r="G73" s="0" t="s">
        <v>394</v>
      </c>
      <c r="H73" s="0" t="s">
        <v>168</v>
      </c>
      <c r="I73" s="0" t="s">
        <v>450</v>
      </c>
      <c r="J73" s="0" t="s">
        <v>177</v>
      </c>
      <c r="K73" s="0" t="s">
        <v>168</v>
      </c>
      <c r="L73" s="0" t="n">
        <v>1.2492</v>
      </c>
      <c r="M73" s="0" t="s">
        <v>422</v>
      </c>
      <c r="N73" s="0" t="n">
        <v>0.0988</v>
      </c>
      <c r="O73" s="0" t="n">
        <v>106.182</v>
      </c>
      <c r="P73" s="0" t="n">
        <v>52.45</v>
      </c>
      <c r="Q73" s="0" t="s">
        <v>156</v>
      </c>
      <c r="R73" s="0" t="s">
        <v>170</v>
      </c>
      <c r="S73" s="0" t="n">
        <v>212</v>
      </c>
      <c r="T73" s="92" t="n">
        <v>0.252746</v>
      </c>
      <c r="U73" s="0" t="n">
        <v>2</v>
      </c>
      <c r="V73" s="0" t="s">
        <v>587</v>
      </c>
      <c r="W73" s="0" t="s">
        <v>398</v>
      </c>
      <c r="X73" s="0" t="n">
        <v>5</v>
      </c>
      <c r="Y73" s="0" t="s">
        <v>399</v>
      </c>
      <c r="Z73" s="0" t="n">
        <v>0</v>
      </c>
      <c r="AA73" s="0" t="n">
        <v>0</v>
      </c>
      <c r="AB73" s="0" t="s">
        <v>400</v>
      </c>
      <c r="AC73" s="0" t="n">
        <v>0</v>
      </c>
      <c r="AD73" s="0" t="s">
        <v>588</v>
      </c>
      <c r="AE73" s="0" t="s">
        <v>589</v>
      </c>
      <c r="AG73" s="0" t="s">
        <v>392</v>
      </c>
    </row>
    <row r="74" customFormat="false" ht="15" hidden="false" customHeight="false" outlineLevel="0" collapsed="false">
      <c r="A74" s="0" t="s">
        <v>449</v>
      </c>
      <c r="B74" s="0" t="s">
        <v>392</v>
      </c>
      <c r="C74" s="0" t="s">
        <v>586</v>
      </c>
      <c r="D74" s="0" t="s">
        <v>420</v>
      </c>
      <c r="F74" s="0" t="n">
        <v>2</v>
      </c>
      <c r="G74" s="0" t="s">
        <v>430</v>
      </c>
      <c r="H74" s="0" t="s">
        <v>153</v>
      </c>
      <c r="I74" s="0" t="s">
        <v>450</v>
      </c>
      <c r="J74" s="0" t="s">
        <v>177</v>
      </c>
      <c r="K74" s="0" t="s">
        <v>396</v>
      </c>
      <c r="L74" s="0" t="n">
        <v>1.1839</v>
      </c>
      <c r="M74" s="0" t="s">
        <v>422</v>
      </c>
      <c r="N74" s="0" t="n">
        <v>0.1125</v>
      </c>
      <c r="O74" s="0" t="n">
        <v>100.6315</v>
      </c>
      <c r="P74" s="0" t="n">
        <v>56.61</v>
      </c>
      <c r="Q74" s="0" t="s">
        <v>156</v>
      </c>
      <c r="R74" s="0" t="s">
        <v>170</v>
      </c>
      <c r="S74" s="0" t="n">
        <v>212</v>
      </c>
      <c r="T74" s="92" t="n">
        <v>0.193607</v>
      </c>
      <c r="U74" s="0" t="n">
        <v>2</v>
      </c>
      <c r="V74" s="0" t="s">
        <v>587</v>
      </c>
      <c r="W74" s="0" t="s">
        <v>398</v>
      </c>
      <c r="X74" s="0" t="n">
        <v>5</v>
      </c>
      <c r="Y74" s="0" t="s">
        <v>399</v>
      </c>
      <c r="Z74" s="0" t="n">
        <v>0</v>
      </c>
      <c r="AA74" s="0" t="n">
        <v>0</v>
      </c>
      <c r="AB74" s="0" t="s">
        <v>400</v>
      </c>
      <c r="AC74" s="0" t="n">
        <v>0</v>
      </c>
      <c r="AD74" s="0" t="s">
        <v>588</v>
      </c>
      <c r="AE74" s="0" t="s">
        <v>590</v>
      </c>
      <c r="AG74" s="0" t="s">
        <v>392</v>
      </c>
    </row>
    <row r="75" customFormat="false" ht="15" hidden="false" customHeight="false" outlineLevel="0" collapsed="false">
      <c r="A75" s="0" t="s">
        <v>449</v>
      </c>
      <c r="B75" s="0" t="s">
        <v>403</v>
      </c>
      <c r="C75" s="0" t="s">
        <v>586</v>
      </c>
      <c r="D75" s="0" t="s">
        <v>420</v>
      </c>
      <c r="F75" s="0" t="n">
        <v>1</v>
      </c>
      <c r="G75" s="0" t="s">
        <v>394</v>
      </c>
      <c r="H75" s="0" t="s">
        <v>168</v>
      </c>
      <c r="I75" s="0" t="s">
        <v>450</v>
      </c>
      <c r="J75" s="0" t="s">
        <v>177</v>
      </c>
      <c r="K75" s="0" t="s">
        <v>168</v>
      </c>
      <c r="L75" s="0" t="n">
        <v>1.2492</v>
      </c>
      <c r="M75" s="0" t="s">
        <v>422</v>
      </c>
      <c r="N75" s="0" t="n">
        <v>0.1278</v>
      </c>
      <c r="O75" s="0" t="n">
        <v>106.182</v>
      </c>
      <c r="P75" s="0" t="n">
        <v>67.85</v>
      </c>
      <c r="Q75" s="0" t="s">
        <v>156</v>
      </c>
      <c r="R75" s="0" t="s">
        <v>170</v>
      </c>
      <c r="S75" s="0" t="n">
        <v>274</v>
      </c>
      <c r="T75" s="92" t="n">
        <v>0.252127</v>
      </c>
      <c r="U75" s="0" t="n">
        <v>2</v>
      </c>
      <c r="V75" s="0" t="s">
        <v>591</v>
      </c>
      <c r="W75" s="0" t="s">
        <v>398</v>
      </c>
      <c r="X75" s="0" t="n">
        <v>5</v>
      </c>
      <c r="Y75" s="0" t="s">
        <v>399</v>
      </c>
      <c r="Z75" s="0" t="n">
        <v>0</v>
      </c>
      <c r="AA75" s="0" t="n">
        <v>0</v>
      </c>
      <c r="AB75" s="0" t="s">
        <v>400</v>
      </c>
      <c r="AC75" s="0" t="n">
        <v>0</v>
      </c>
      <c r="AD75" s="0" t="s">
        <v>592</v>
      </c>
      <c r="AE75" s="0" t="s">
        <v>593</v>
      </c>
      <c r="AG75" s="0" t="s">
        <v>392</v>
      </c>
    </row>
    <row r="76" customFormat="false" ht="15" hidden="false" customHeight="false" outlineLevel="0" collapsed="false">
      <c r="A76" s="0" t="s">
        <v>449</v>
      </c>
      <c r="B76" s="0" t="s">
        <v>403</v>
      </c>
      <c r="C76" s="0" t="s">
        <v>586</v>
      </c>
      <c r="D76" s="0" t="s">
        <v>420</v>
      </c>
      <c r="F76" s="0" t="n">
        <v>2</v>
      </c>
      <c r="G76" s="0" t="s">
        <v>430</v>
      </c>
      <c r="H76" s="0" t="s">
        <v>153</v>
      </c>
      <c r="I76" s="0" t="s">
        <v>450</v>
      </c>
      <c r="J76" s="0" t="s">
        <v>177</v>
      </c>
      <c r="K76" s="0" t="s">
        <v>396</v>
      </c>
      <c r="L76" s="0" t="n">
        <v>1.1839</v>
      </c>
      <c r="M76" s="0" t="s">
        <v>422</v>
      </c>
      <c r="N76" s="0" t="n">
        <v>0.145</v>
      </c>
      <c r="O76" s="0" t="n">
        <v>100.6315</v>
      </c>
      <c r="P76" s="0" t="n">
        <v>72.96</v>
      </c>
      <c r="Q76" s="0" t="s">
        <v>156</v>
      </c>
      <c r="R76" s="0" t="s">
        <v>170</v>
      </c>
      <c r="S76" s="0" t="n">
        <v>274</v>
      </c>
      <c r="T76" s="92" t="n">
        <v>0.19583</v>
      </c>
      <c r="U76" s="0" t="n">
        <v>2</v>
      </c>
      <c r="V76" s="0" t="s">
        <v>591</v>
      </c>
      <c r="W76" s="0" t="s">
        <v>398</v>
      </c>
      <c r="X76" s="0" t="n">
        <v>5</v>
      </c>
      <c r="Y76" s="0" t="s">
        <v>399</v>
      </c>
      <c r="Z76" s="0" t="n">
        <v>0</v>
      </c>
      <c r="AA76" s="0" t="n">
        <v>0</v>
      </c>
      <c r="AB76" s="0" t="s">
        <v>400</v>
      </c>
      <c r="AC76" s="0" t="n">
        <v>0</v>
      </c>
      <c r="AD76" s="0" t="s">
        <v>592</v>
      </c>
      <c r="AE76" s="0" t="s">
        <v>594</v>
      </c>
      <c r="AG76" s="0" t="s">
        <v>392</v>
      </c>
    </row>
    <row r="77" customFormat="false" ht="15" hidden="false" customHeight="false" outlineLevel="0" collapsed="false">
      <c r="A77" s="0" t="s">
        <v>595</v>
      </c>
      <c r="B77" s="0" t="s">
        <v>392</v>
      </c>
      <c r="C77" s="0" t="s">
        <v>596</v>
      </c>
      <c r="D77" s="0" t="s">
        <v>420</v>
      </c>
      <c r="F77" s="0" t="n">
        <v>1</v>
      </c>
      <c r="G77" s="0" t="s">
        <v>394</v>
      </c>
      <c r="H77" s="0" t="s">
        <v>153</v>
      </c>
      <c r="I77" s="0" t="s">
        <v>450</v>
      </c>
      <c r="J77" s="0" t="s">
        <v>177</v>
      </c>
      <c r="K77" s="0" t="s">
        <v>396</v>
      </c>
      <c r="L77" s="0" t="n">
        <v>1.1839</v>
      </c>
      <c r="M77" s="0" t="s">
        <v>422</v>
      </c>
      <c r="N77" s="0" t="n">
        <v>0.14</v>
      </c>
      <c r="O77" s="0" t="n">
        <v>100.6315</v>
      </c>
      <c r="P77" s="0" t="n">
        <v>70.44</v>
      </c>
      <c r="Q77" s="0" t="s">
        <v>156</v>
      </c>
      <c r="R77" s="0" t="s">
        <v>170</v>
      </c>
      <c r="S77" s="0" t="n">
        <v>284</v>
      </c>
      <c r="T77" s="92" t="n">
        <v>0.2509</v>
      </c>
      <c r="U77" s="0" t="n">
        <v>1</v>
      </c>
      <c r="V77" s="0" t="s">
        <v>597</v>
      </c>
      <c r="W77" s="0" t="s">
        <v>398</v>
      </c>
      <c r="X77" s="0" t="n">
        <v>5</v>
      </c>
      <c r="Y77" s="0" t="s">
        <v>399</v>
      </c>
      <c r="Z77" s="0" t="n">
        <v>0</v>
      </c>
      <c r="AA77" s="0" t="n">
        <v>0</v>
      </c>
      <c r="AB77" s="0" t="s">
        <v>400</v>
      </c>
      <c r="AC77" s="0" t="n">
        <v>0</v>
      </c>
      <c r="AD77" s="0" t="s">
        <v>598</v>
      </c>
      <c r="AE77" s="0" t="s">
        <v>599</v>
      </c>
      <c r="AG77" s="0" t="s">
        <v>392</v>
      </c>
    </row>
    <row r="78" customFormat="false" ht="15" hidden="false" customHeight="false" outlineLevel="0" collapsed="false">
      <c r="A78" s="0" t="s">
        <v>595</v>
      </c>
      <c r="B78" s="0" t="s">
        <v>403</v>
      </c>
      <c r="C78" s="0" t="s">
        <v>596</v>
      </c>
      <c r="D78" s="0" t="s">
        <v>420</v>
      </c>
      <c r="F78" s="0" t="n">
        <v>1</v>
      </c>
      <c r="G78" s="0" t="s">
        <v>394</v>
      </c>
      <c r="H78" s="0" t="s">
        <v>153</v>
      </c>
      <c r="I78" s="0" t="s">
        <v>450</v>
      </c>
      <c r="J78" s="0" t="s">
        <v>177</v>
      </c>
      <c r="K78" s="0" t="s">
        <v>396</v>
      </c>
      <c r="L78" s="0" t="n">
        <v>1.1839</v>
      </c>
      <c r="M78" s="0" t="s">
        <v>422</v>
      </c>
      <c r="N78" s="0" t="n">
        <v>0.24</v>
      </c>
      <c r="O78" s="0" t="n">
        <v>100.6315</v>
      </c>
      <c r="P78" s="0" t="n">
        <v>120.76</v>
      </c>
      <c r="Q78" s="0" t="s">
        <v>156</v>
      </c>
      <c r="R78" s="0" t="s">
        <v>170</v>
      </c>
      <c r="S78" s="0" t="n">
        <v>487</v>
      </c>
      <c r="T78" s="92" t="n">
        <v>0.251119</v>
      </c>
      <c r="U78" s="0" t="n">
        <v>1</v>
      </c>
      <c r="V78" s="0" t="s">
        <v>600</v>
      </c>
      <c r="W78" s="0" t="s">
        <v>398</v>
      </c>
      <c r="X78" s="0" t="n">
        <v>5</v>
      </c>
      <c r="Y78" s="0" t="s">
        <v>399</v>
      </c>
      <c r="Z78" s="0" t="n">
        <v>0</v>
      </c>
      <c r="AA78" s="0" t="n">
        <v>0</v>
      </c>
      <c r="AB78" s="0" t="s">
        <v>400</v>
      </c>
      <c r="AC78" s="0" t="n">
        <v>0</v>
      </c>
      <c r="AD78" s="0" t="s">
        <v>601</v>
      </c>
      <c r="AE78" s="0" t="s">
        <v>602</v>
      </c>
      <c r="AG78" s="0" t="s">
        <v>392</v>
      </c>
    </row>
    <row r="79" customFormat="false" ht="15" hidden="false" customHeight="false" outlineLevel="0" collapsed="false">
      <c r="A79" s="0" t="s">
        <v>526</v>
      </c>
      <c r="B79" s="0" t="s">
        <v>490</v>
      </c>
      <c r="C79" s="0" t="s">
        <v>603</v>
      </c>
      <c r="D79" s="0" t="s">
        <v>484</v>
      </c>
      <c r="F79" s="0" t="n">
        <v>1</v>
      </c>
      <c r="G79" s="0" t="s">
        <v>394</v>
      </c>
      <c r="H79" s="0" t="s">
        <v>153</v>
      </c>
      <c r="I79" s="0" t="s">
        <v>421</v>
      </c>
      <c r="J79" s="0" t="s">
        <v>259</v>
      </c>
      <c r="K79" s="0" t="s">
        <v>396</v>
      </c>
      <c r="L79" s="0" t="n">
        <v>1.1839</v>
      </c>
      <c r="M79" s="0" t="s">
        <v>485</v>
      </c>
      <c r="N79" s="0" t="n">
        <v>0.0575</v>
      </c>
      <c r="O79" s="0" t="n">
        <v>100.6315</v>
      </c>
      <c r="P79" s="0" t="n">
        <v>5.79</v>
      </c>
      <c r="Q79" s="0" t="s">
        <v>156</v>
      </c>
      <c r="R79" s="0" t="s">
        <v>170</v>
      </c>
      <c r="S79" s="0" t="n">
        <v>24</v>
      </c>
      <c r="T79" s="92" t="n">
        <v>0.271857</v>
      </c>
      <c r="U79" s="0" t="n">
        <v>1</v>
      </c>
      <c r="V79" s="0" t="s">
        <v>604</v>
      </c>
      <c r="W79" s="0" t="s">
        <v>398</v>
      </c>
      <c r="X79" s="0" t="n">
        <v>1</v>
      </c>
      <c r="Y79" s="0" t="s">
        <v>399</v>
      </c>
      <c r="Z79" s="0" t="n">
        <v>2</v>
      </c>
      <c r="AA79" s="0" t="n">
        <v>10</v>
      </c>
      <c r="AB79" s="0" t="s">
        <v>605</v>
      </c>
      <c r="AC79" s="0" t="n">
        <v>0.0025</v>
      </c>
      <c r="AD79" s="0" t="s">
        <v>606</v>
      </c>
      <c r="AE79" s="0" t="s">
        <v>607</v>
      </c>
      <c r="AG79" s="0" t="s">
        <v>490</v>
      </c>
    </row>
    <row r="80" customFormat="false" ht="15" hidden="false" customHeight="false" outlineLevel="0" collapsed="false">
      <c r="A80" s="0" t="s">
        <v>526</v>
      </c>
      <c r="B80" s="0" t="s">
        <v>531</v>
      </c>
      <c r="C80" s="0" t="s">
        <v>603</v>
      </c>
      <c r="D80" s="0" t="s">
        <v>484</v>
      </c>
      <c r="F80" s="0" t="n">
        <v>1</v>
      </c>
      <c r="G80" s="0" t="s">
        <v>394</v>
      </c>
      <c r="H80" s="0" t="s">
        <v>153</v>
      </c>
      <c r="I80" s="0" t="s">
        <v>421</v>
      </c>
      <c r="J80" s="0" t="s">
        <v>259</v>
      </c>
      <c r="K80" s="0" t="s">
        <v>396</v>
      </c>
      <c r="L80" s="0" t="n">
        <v>1.1839</v>
      </c>
      <c r="M80" s="0" t="s">
        <v>485</v>
      </c>
      <c r="N80" s="0" t="n">
        <v>0.0925</v>
      </c>
      <c r="O80" s="0" t="n">
        <v>100.6315</v>
      </c>
      <c r="P80" s="0" t="n">
        <v>9.31</v>
      </c>
      <c r="Q80" s="0" t="s">
        <v>156</v>
      </c>
      <c r="R80" s="0" t="s">
        <v>170</v>
      </c>
      <c r="S80" s="0" t="n">
        <v>38</v>
      </c>
      <c r="T80" s="92" t="n">
        <v>0.260193</v>
      </c>
      <c r="U80" s="0" t="n">
        <v>1</v>
      </c>
      <c r="V80" s="0" t="s">
        <v>608</v>
      </c>
      <c r="W80" s="0" t="s">
        <v>398</v>
      </c>
      <c r="X80" s="0" t="n">
        <v>1</v>
      </c>
      <c r="Y80" s="0" t="s">
        <v>399</v>
      </c>
      <c r="Z80" s="0" t="n">
        <v>2</v>
      </c>
      <c r="AA80" s="0" t="n">
        <v>10</v>
      </c>
      <c r="AB80" s="0" t="s">
        <v>605</v>
      </c>
      <c r="AC80" s="0" t="n">
        <v>0.0025</v>
      </c>
      <c r="AD80" s="0" t="s">
        <v>609</v>
      </c>
      <c r="AE80" s="0" t="s">
        <v>610</v>
      </c>
      <c r="AG80" s="0" t="s">
        <v>490</v>
      </c>
    </row>
    <row r="81" customFormat="false" ht="15" hidden="false" customHeight="false" outlineLevel="0" collapsed="false">
      <c r="A81" s="0" t="s">
        <v>165</v>
      </c>
      <c r="B81" s="0" t="s">
        <v>426</v>
      </c>
      <c r="C81" s="0" t="s">
        <v>586</v>
      </c>
      <c r="D81" s="0" t="s">
        <v>420</v>
      </c>
      <c r="F81" s="0" t="n">
        <v>1</v>
      </c>
      <c r="G81" s="0" t="s">
        <v>394</v>
      </c>
      <c r="H81" s="0" t="s">
        <v>168</v>
      </c>
      <c r="I81" s="0" t="s">
        <v>421</v>
      </c>
      <c r="J81" s="0" t="s">
        <v>263</v>
      </c>
      <c r="K81" s="0" t="s">
        <v>168</v>
      </c>
      <c r="L81" s="0" t="n">
        <v>1.2492</v>
      </c>
      <c r="M81" s="0" t="s">
        <v>422</v>
      </c>
      <c r="N81" s="0" t="n">
        <v>0.067</v>
      </c>
      <c r="O81" s="0" t="n">
        <v>106.182</v>
      </c>
      <c r="P81" s="0" t="n">
        <v>35.57</v>
      </c>
      <c r="Q81" s="0" t="s">
        <v>156</v>
      </c>
      <c r="R81" s="0" t="s">
        <v>264</v>
      </c>
      <c r="S81" s="0" t="n">
        <v>145</v>
      </c>
      <c r="T81" s="92" t="n">
        <v>0.259109</v>
      </c>
      <c r="U81" s="0" t="n">
        <v>2</v>
      </c>
      <c r="V81" s="0" t="s">
        <v>611</v>
      </c>
      <c r="W81" s="0" t="s">
        <v>398</v>
      </c>
      <c r="X81" s="0" t="n">
        <v>5</v>
      </c>
      <c r="Y81" s="0" t="s">
        <v>399</v>
      </c>
      <c r="Z81" s="0" t="n">
        <v>0</v>
      </c>
      <c r="AA81" s="0" t="n">
        <v>0</v>
      </c>
      <c r="AB81" s="0" t="s">
        <v>400</v>
      </c>
      <c r="AC81" s="0" t="n">
        <v>0</v>
      </c>
      <c r="AD81" s="0" t="s">
        <v>612</v>
      </c>
      <c r="AE81" s="0" t="s">
        <v>613</v>
      </c>
      <c r="AG81" s="0" t="s">
        <v>426</v>
      </c>
    </row>
    <row r="82" customFormat="false" ht="15" hidden="false" customHeight="false" outlineLevel="0" collapsed="false">
      <c r="A82" s="0" t="s">
        <v>165</v>
      </c>
      <c r="B82" s="0" t="s">
        <v>426</v>
      </c>
      <c r="C82" s="0" t="s">
        <v>586</v>
      </c>
      <c r="D82" s="0" t="s">
        <v>420</v>
      </c>
      <c r="F82" s="0" t="n">
        <v>2</v>
      </c>
      <c r="G82" s="0" t="s">
        <v>430</v>
      </c>
      <c r="H82" s="0" t="s">
        <v>153</v>
      </c>
      <c r="I82" s="0" t="s">
        <v>421</v>
      </c>
      <c r="J82" s="0" t="s">
        <v>263</v>
      </c>
      <c r="K82" s="0" t="s">
        <v>396</v>
      </c>
      <c r="L82" s="0" t="n">
        <v>1.1839</v>
      </c>
      <c r="M82" s="0" t="s">
        <v>422</v>
      </c>
      <c r="N82" s="0" t="n">
        <v>0.095</v>
      </c>
      <c r="O82" s="0" t="n">
        <v>100.6315</v>
      </c>
      <c r="P82" s="0" t="n">
        <v>47.8</v>
      </c>
      <c r="Q82" s="0" t="s">
        <v>156</v>
      </c>
      <c r="R82" s="0" t="s">
        <v>264</v>
      </c>
      <c r="S82" s="0" t="n">
        <v>145</v>
      </c>
      <c r="T82" s="92" t="n">
        <v>0.004398</v>
      </c>
      <c r="U82" s="0" t="n">
        <v>2</v>
      </c>
      <c r="V82" s="0" t="s">
        <v>611</v>
      </c>
      <c r="W82" s="0" t="s">
        <v>398</v>
      </c>
      <c r="X82" s="0" t="n">
        <v>5</v>
      </c>
      <c r="Y82" s="0" t="s">
        <v>399</v>
      </c>
      <c r="Z82" s="0" t="n">
        <v>0</v>
      </c>
      <c r="AA82" s="0" t="n">
        <v>0</v>
      </c>
      <c r="AB82" s="0" t="s">
        <v>400</v>
      </c>
      <c r="AC82" s="0" t="n">
        <v>0</v>
      </c>
      <c r="AD82" s="0" t="s">
        <v>612</v>
      </c>
      <c r="AE82" s="0" t="s">
        <v>614</v>
      </c>
      <c r="AG82" s="0" t="s">
        <v>426</v>
      </c>
    </row>
    <row r="83" customFormat="false" ht="15" hidden="false" customHeight="false" outlineLevel="0" collapsed="false">
      <c r="A83" s="0" t="s">
        <v>165</v>
      </c>
      <c r="B83" s="0" t="s">
        <v>392</v>
      </c>
      <c r="C83" s="0" t="s">
        <v>586</v>
      </c>
      <c r="D83" s="0" t="s">
        <v>420</v>
      </c>
      <c r="F83" s="0" t="n">
        <v>1</v>
      </c>
      <c r="G83" s="0" t="s">
        <v>394</v>
      </c>
      <c r="H83" s="0" t="s">
        <v>168</v>
      </c>
      <c r="I83" s="0" t="s">
        <v>421</v>
      </c>
      <c r="J83" s="0" t="s">
        <v>263</v>
      </c>
      <c r="K83" s="0" t="s">
        <v>168</v>
      </c>
      <c r="L83" s="0" t="n">
        <v>1.2492</v>
      </c>
      <c r="M83" s="0" t="s">
        <v>422</v>
      </c>
      <c r="N83" s="0" t="n">
        <v>0.151</v>
      </c>
      <c r="O83" s="0" t="n">
        <v>106.182</v>
      </c>
      <c r="P83" s="0" t="n">
        <v>80.17</v>
      </c>
      <c r="Q83" s="0" t="s">
        <v>156</v>
      </c>
      <c r="R83" s="0" t="s">
        <v>264</v>
      </c>
      <c r="S83" s="0" t="n">
        <v>323</v>
      </c>
      <c r="T83" s="92" t="n">
        <v>0.250414</v>
      </c>
      <c r="U83" s="0" t="n">
        <v>2</v>
      </c>
      <c r="V83" s="0" t="s">
        <v>615</v>
      </c>
      <c r="W83" s="0" t="s">
        <v>398</v>
      </c>
      <c r="X83" s="0" t="n">
        <v>5</v>
      </c>
      <c r="Y83" s="0" t="s">
        <v>399</v>
      </c>
      <c r="Z83" s="0" t="n">
        <v>0</v>
      </c>
      <c r="AA83" s="0" t="n">
        <v>0</v>
      </c>
      <c r="AB83" s="0" t="s">
        <v>400</v>
      </c>
      <c r="AC83" s="0" t="n">
        <v>0</v>
      </c>
      <c r="AD83" s="0" t="s">
        <v>616</v>
      </c>
      <c r="AE83" s="0" t="s">
        <v>617</v>
      </c>
      <c r="AG83" s="0" t="s">
        <v>426</v>
      </c>
    </row>
    <row r="84" customFormat="false" ht="15" hidden="false" customHeight="false" outlineLevel="0" collapsed="false">
      <c r="A84" s="0" t="s">
        <v>165</v>
      </c>
      <c r="B84" s="0" t="s">
        <v>392</v>
      </c>
      <c r="C84" s="0" t="s">
        <v>586</v>
      </c>
      <c r="D84" s="0" t="s">
        <v>420</v>
      </c>
      <c r="F84" s="0" t="n">
        <v>2</v>
      </c>
      <c r="G84" s="0" t="s">
        <v>430</v>
      </c>
      <c r="H84" s="0" t="s">
        <v>153</v>
      </c>
      <c r="I84" s="0" t="s">
        <v>421</v>
      </c>
      <c r="J84" s="0" t="s">
        <v>263</v>
      </c>
      <c r="K84" s="0" t="s">
        <v>396</v>
      </c>
      <c r="L84" s="0" t="n">
        <v>1.1839</v>
      </c>
      <c r="M84" s="0" t="s">
        <v>422</v>
      </c>
      <c r="N84" s="0" t="n">
        <v>0.205</v>
      </c>
      <c r="O84" s="0" t="n">
        <v>100.6315</v>
      </c>
      <c r="P84" s="0" t="n">
        <v>103.15</v>
      </c>
      <c r="Q84" s="0" t="s">
        <v>156</v>
      </c>
      <c r="R84" s="0" t="s">
        <v>264</v>
      </c>
      <c r="S84" s="0" t="n">
        <v>323</v>
      </c>
      <c r="T84" s="92" t="n">
        <v>0.035546</v>
      </c>
      <c r="U84" s="0" t="n">
        <v>2</v>
      </c>
      <c r="V84" s="0" t="s">
        <v>615</v>
      </c>
      <c r="W84" s="0" t="s">
        <v>398</v>
      </c>
      <c r="X84" s="0" t="n">
        <v>5</v>
      </c>
      <c r="Y84" s="0" t="s">
        <v>399</v>
      </c>
      <c r="Z84" s="0" t="n">
        <v>0</v>
      </c>
      <c r="AA84" s="0" t="n">
        <v>0</v>
      </c>
      <c r="AB84" s="0" t="s">
        <v>400</v>
      </c>
      <c r="AC84" s="0" t="n">
        <v>0</v>
      </c>
      <c r="AD84" s="0" t="s">
        <v>616</v>
      </c>
      <c r="AE84" s="0" t="s">
        <v>618</v>
      </c>
      <c r="AG84" s="0" t="s">
        <v>426</v>
      </c>
    </row>
    <row r="85" customFormat="false" ht="15" hidden="false" customHeight="false" outlineLevel="0" collapsed="false">
      <c r="A85" s="0" t="s">
        <v>165</v>
      </c>
      <c r="B85" s="0" t="s">
        <v>403</v>
      </c>
      <c r="C85" s="0" t="s">
        <v>586</v>
      </c>
      <c r="D85" s="0" t="s">
        <v>420</v>
      </c>
      <c r="F85" s="0" t="n">
        <v>1</v>
      </c>
      <c r="G85" s="0" t="s">
        <v>394</v>
      </c>
      <c r="H85" s="0" t="s">
        <v>168</v>
      </c>
      <c r="I85" s="0" t="s">
        <v>421</v>
      </c>
      <c r="J85" s="0" t="s">
        <v>263</v>
      </c>
      <c r="K85" s="0" t="s">
        <v>168</v>
      </c>
      <c r="L85" s="0" t="n">
        <v>1.2492</v>
      </c>
      <c r="M85" s="0" t="s">
        <v>422</v>
      </c>
      <c r="N85" s="0" t="n">
        <v>0.34</v>
      </c>
      <c r="O85" s="0" t="n">
        <v>106.182</v>
      </c>
      <c r="P85" s="0" t="n">
        <v>180.51</v>
      </c>
      <c r="Q85" s="0" t="s">
        <v>156</v>
      </c>
      <c r="R85" s="0" t="s">
        <v>264</v>
      </c>
      <c r="S85" s="0" t="n">
        <v>775</v>
      </c>
      <c r="T85" s="92" t="n">
        <v>0.296564</v>
      </c>
      <c r="U85" s="0" t="n">
        <v>2</v>
      </c>
      <c r="V85" s="0" t="s">
        <v>619</v>
      </c>
      <c r="W85" s="0" t="s">
        <v>398</v>
      </c>
      <c r="X85" s="0" t="n">
        <v>5</v>
      </c>
      <c r="Y85" s="0" t="s">
        <v>399</v>
      </c>
      <c r="Z85" s="0" t="n">
        <v>0</v>
      </c>
      <c r="AA85" s="0" t="n">
        <v>0</v>
      </c>
      <c r="AB85" s="0" t="s">
        <v>400</v>
      </c>
      <c r="AC85" s="0" t="n">
        <v>0</v>
      </c>
      <c r="AD85" s="0" t="s">
        <v>620</v>
      </c>
      <c r="AE85" s="0" t="s">
        <v>621</v>
      </c>
      <c r="AG85" s="0" t="s">
        <v>426</v>
      </c>
    </row>
    <row r="86" customFormat="false" ht="15" hidden="false" customHeight="false" outlineLevel="0" collapsed="false">
      <c r="A86" s="0" t="s">
        <v>165</v>
      </c>
      <c r="B86" s="0" t="s">
        <v>403</v>
      </c>
      <c r="C86" s="0" t="s">
        <v>586</v>
      </c>
      <c r="D86" s="0" t="s">
        <v>420</v>
      </c>
      <c r="F86" s="0" t="n">
        <v>2</v>
      </c>
      <c r="G86" s="0" t="s">
        <v>430</v>
      </c>
      <c r="H86" s="0" t="s">
        <v>153</v>
      </c>
      <c r="I86" s="0" t="s">
        <v>421</v>
      </c>
      <c r="J86" s="0" t="s">
        <v>263</v>
      </c>
      <c r="K86" s="0" t="s">
        <v>396</v>
      </c>
      <c r="L86" s="0" t="n">
        <v>1.1839</v>
      </c>
      <c r="M86" s="0" t="s">
        <v>422</v>
      </c>
      <c r="N86" s="0" t="n">
        <v>0.51</v>
      </c>
      <c r="O86" s="0" t="n">
        <v>100.6315</v>
      </c>
      <c r="P86" s="0" t="n">
        <v>256.61</v>
      </c>
      <c r="Q86" s="0" t="s">
        <v>156</v>
      </c>
      <c r="R86" s="0" t="s">
        <v>264</v>
      </c>
      <c r="S86" s="0" t="n">
        <v>775</v>
      </c>
      <c r="T86" s="92" t="n">
        <v>3E-006</v>
      </c>
      <c r="U86" s="0" t="n">
        <v>2</v>
      </c>
      <c r="V86" s="0" t="s">
        <v>619</v>
      </c>
      <c r="W86" s="0" t="s">
        <v>398</v>
      </c>
      <c r="X86" s="0" t="n">
        <v>5</v>
      </c>
      <c r="Y86" s="0" t="s">
        <v>399</v>
      </c>
      <c r="Z86" s="0" t="n">
        <v>0</v>
      </c>
      <c r="AA86" s="0" t="n">
        <v>0</v>
      </c>
      <c r="AB86" s="0" t="s">
        <v>400</v>
      </c>
      <c r="AC86" s="0" t="n">
        <v>0</v>
      </c>
      <c r="AD86" s="0" t="s">
        <v>620</v>
      </c>
      <c r="AE86" s="0" t="s">
        <v>622</v>
      </c>
      <c r="AG86" s="0" t="s">
        <v>426</v>
      </c>
    </row>
    <row r="87" customFormat="false" ht="15" hidden="false" customHeight="false" outlineLevel="0" collapsed="false">
      <c r="A87" s="0" t="s">
        <v>165</v>
      </c>
      <c r="B87" s="0" t="s">
        <v>419</v>
      </c>
      <c r="C87" s="0" t="s">
        <v>586</v>
      </c>
      <c r="D87" s="0" t="s">
        <v>420</v>
      </c>
      <c r="F87" s="0" t="n">
        <v>1</v>
      </c>
      <c r="G87" s="0" t="s">
        <v>394</v>
      </c>
      <c r="H87" s="0" t="s">
        <v>153</v>
      </c>
      <c r="I87" s="0" t="s">
        <v>421</v>
      </c>
      <c r="J87" s="0" t="s">
        <v>263</v>
      </c>
      <c r="K87" s="0" t="s">
        <v>396</v>
      </c>
      <c r="L87" s="0" t="n">
        <v>1.1839</v>
      </c>
      <c r="M87" s="0" t="s">
        <v>422</v>
      </c>
      <c r="N87" s="0" t="n">
        <v>1.04</v>
      </c>
      <c r="O87" s="0" t="n">
        <v>100.6315</v>
      </c>
      <c r="P87" s="0" t="n">
        <v>523.28</v>
      </c>
      <c r="Q87" s="0" t="s">
        <v>156</v>
      </c>
      <c r="R87" s="0" t="s">
        <v>269</v>
      </c>
      <c r="S87" s="0" t="n">
        <v>2108</v>
      </c>
      <c r="T87" s="92" t="n">
        <v>0.25029</v>
      </c>
      <c r="U87" s="0" t="n">
        <v>1</v>
      </c>
      <c r="V87" s="0" t="s">
        <v>623</v>
      </c>
      <c r="W87" s="0" t="s">
        <v>398</v>
      </c>
      <c r="X87" s="0" t="n">
        <v>5</v>
      </c>
      <c r="Y87" s="0" t="s">
        <v>399</v>
      </c>
      <c r="Z87" s="0" t="n">
        <v>0</v>
      </c>
      <c r="AA87" s="0" t="n">
        <v>0</v>
      </c>
      <c r="AB87" s="0" t="s">
        <v>400</v>
      </c>
      <c r="AC87" s="0" t="n">
        <v>0</v>
      </c>
      <c r="AD87" s="0" t="s">
        <v>624</v>
      </c>
      <c r="AE87" s="0" t="s">
        <v>625</v>
      </c>
      <c r="AG87" s="0" t="s">
        <v>426</v>
      </c>
    </row>
    <row r="88" customFormat="false" ht="15" hidden="false" customHeight="false" outlineLevel="0" collapsed="false">
      <c r="A88" s="0" t="s">
        <v>440</v>
      </c>
      <c r="B88" s="0" t="s">
        <v>426</v>
      </c>
      <c r="C88" s="0" t="s">
        <v>586</v>
      </c>
      <c r="D88" s="0" t="s">
        <v>420</v>
      </c>
      <c r="F88" s="0" t="n">
        <v>1</v>
      </c>
      <c r="G88" s="0" t="s">
        <v>394</v>
      </c>
      <c r="H88" s="0" t="s">
        <v>168</v>
      </c>
      <c r="I88" s="0" t="s">
        <v>421</v>
      </c>
      <c r="J88" s="0" t="s">
        <v>263</v>
      </c>
      <c r="K88" s="0" t="s">
        <v>168</v>
      </c>
      <c r="L88" s="0" t="n">
        <v>1.2492</v>
      </c>
      <c r="M88" s="0" t="s">
        <v>422</v>
      </c>
      <c r="N88" s="0" t="n">
        <v>0.0538</v>
      </c>
      <c r="O88" s="0" t="n">
        <v>106.182</v>
      </c>
      <c r="P88" s="0" t="n">
        <v>28.56</v>
      </c>
      <c r="Q88" s="0" t="s">
        <v>156</v>
      </c>
      <c r="R88" s="0" t="s">
        <v>264</v>
      </c>
      <c r="S88" s="0" t="n">
        <v>118</v>
      </c>
      <c r="T88" s="92" t="n">
        <v>0.268949</v>
      </c>
      <c r="U88" s="0" t="n">
        <v>2</v>
      </c>
      <c r="V88" s="0" t="s">
        <v>626</v>
      </c>
      <c r="W88" s="0" t="s">
        <v>398</v>
      </c>
      <c r="X88" s="0" t="n">
        <v>5</v>
      </c>
      <c r="Y88" s="0" t="s">
        <v>399</v>
      </c>
      <c r="Z88" s="0" t="n">
        <v>0</v>
      </c>
      <c r="AA88" s="0" t="n">
        <v>0</v>
      </c>
      <c r="AB88" s="0" t="s">
        <v>400</v>
      </c>
      <c r="AC88" s="0" t="n">
        <v>0</v>
      </c>
      <c r="AD88" s="0" t="s">
        <v>627</v>
      </c>
      <c r="AE88" s="0" t="s">
        <v>628</v>
      </c>
      <c r="AG88" s="0" t="s">
        <v>426</v>
      </c>
    </row>
    <row r="89" customFormat="false" ht="15" hidden="false" customHeight="false" outlineLevel="0" collapsed="false">
      <c r="A89" s="0" t="s">
        <v>440</v>
      </c>
      <c r="B89" s="0" t="s">
        <v>426</v>
      </c>
      <c r="C89" s="0" t="s">
        <v>586</v>
      </c>
      <c r="D89" s="0" t="s">
        <v>420</v>
      </c>
      <c r="F89" s="0" t="n">
        <v>2</v>
      </c>
      <c r="G89" s="0" t="s">
        <v>430</v>
      </c>
      <c r="H89" s="0" t="s">
        <v>153</v>
      </c>
      <c r="I89" s="0" t="s">
        <v>421</v>
      </c>
      <c r="J89" s="0" t="s">
        <v>263</v>
      </c>
      <c r="K89" s="0" t="s">
        <v>396</v>
      </c>
      <c r="L89" s="0" t="n">
        <v>1.1839</v>
      </c>
      <c r="M89" s="0" t="s">
        <v>422</v>
      </c>
      <c r="N89" s="0" t="n">
        <v>0.0775</v>
      </c>
      <c r="O89" s="0" t="n">
        <v>100.6315</v>
      </c>
      <c r="P89" s="0" t="n">
        <v>38.99</v>
      </c>
      <c r="Q89" s="0" t="s">
        <v>156</v>
      </c>
      <c r="R89" s="0" t="s">
        <v>264</v>
      </c>
      <c r="S89" s="0" t="n">
        <v>118</v>
      </c>
      <c r="T89" s="92" t="n">
        <v>0.001955</v>
      </c>
      <c r="U89" s="0" t="n">
        <v>2</v>
      </c>
      <c r="V89" s="0" t="s">
        <v>626</v>
      </c>
      <c r="W89" s="0" t="s">
        <v>398</v>
      </c>
      <c r="X89" s="0" t="n">
        <v>5</v>
      </c>
      <c r="Y89" s="0" t="s">
        <v>399</v>
      </c>
      <c r="Z89" s="0" t="n">
        <v>0</v>
      </c>
      <c r="AA89" s="0" t="n">
        <v>0</v>
      </c>
      <c r="AB89" s="0" t="s">
        <v>400</v>
      </c>
      <c r="AC89" s="0" t="n">
        <v>0</v>
      </c>
      <c r="AD89" s="0" t="s">
        <v>627</v>
      </c>
      <c r="AE89" s="0" t="s">
        <v>629</v>
      </c>
      <c r="AG89" s="0" t="s">
        <v>426</v>
      </c>
    </row>
    <row r="90" customFormat="false" ht="15" hidden="false" customHeight="false" outlineLevel="0" collapsed="false">
      <c r="A90" s="0" t="s">
        <v>440</v>
      </c>
      <c r="B90" s="0" t="s">
        <v>392</v>
      </c>
      <c r="C90" s="0" t="s">
        <v>586</v>
      </c>
      <c r="D90" s="0" t="s">
        <v>420</v>
      </c>
      <c r="F90" s="0" t="n">
        <v>1</v>
      </c>
      <c r="G90" s="0" t="s">
        <v>394</v>
      </c>
      <c r="H90" s="0" t="s">
        <v>168</v>
      </c>
      <c r="I90" s="0" t="s">
        <v>421</v>
      </c>
      <c r="J90" s="0" t="s">
        <v>263</v>
      </c>
      <c r="K90" s="0" t="s">
        <v>168</v>
      </c>
      <c r="L90" s="0" t="n">
        <v>1.2492</v>
      </c>
      <c r="M90" s="0" t="s">
        <v>422</v>
      </c>
      <c r="N90" s="0" t="n">
        <v>0.121</v>
      </c>
      <c r="O90" s="0" t="n">
        <v>106.182</v>
      </c>
      <c r="P90" s="0" t="n">
        <v>64.24</v>
      </c>
      <c r="Q90" s="0" t="s">
        <v>156</v>
      </c>
      <c r="R90" s="0" t="s">
        <v>264</v>
      </c>
      <c r="S90" s="0" t="n">
        <v>259</v>
      </c>
      <c r="T90" s="92" t="n">
        <v>0.250912</v>
      </c>
      <c r="U90" s="0" t="n">
        <v>2</v>
      </c>
      <c r="V90" s="0" t="s">
        <v>630</v>
      </c>
      <c r="W90" s="0" t="s">
        <v>398</v>
      </c>
      <c r="X90" s="0" t="n">
        <v>5</v>
      </c>
      <c r="Y90" s="0" t="s">
        <v>399</v>
      </c>
      <c r="Z90" s="0" t="n">
        <v>0</v>
      </c>
      <c r="AA90" s="0" t="n">
        <v>0</v>
      </c>
      <c r="AB90" s="0" t="s">
        <v>400</v>
      </c>
      <c r="AC90" s="0" t="n">
        <v>0</v>
      </c>
      <c r="AD90" s="0" t="s">
        <v>631</v>
      </c>
      <c r="AE90" s="0" t="s">
        <v>632</v>
      </c>
      <c r="AG90" s="0" t="s">
        <v>426</v>
      </c>
    </row>
    <row r="91" customFormat="false" ht="15" hidden="false" customHeight="false" outlineLevel="0" collapsed="false">
      <c r="A91" s="0" t="s">
        <v>440</v>
      </c>
      <c r="B91" s="0" t="s">
        <v>392</v>
      </c>
      <c r="C91" s="0" t="s">
        <v>586</v>
      </c>
      <c r="D91" s="0" t="s">
        <v>420</v>
      </c>
      <c r="F91" s="0" t="n">
        <v>2</v>
      </c>
      <c r="G91" s="0" t="s">
        <v>430</v>
      </c>
      <c r="H91" s="0" t="s">
        <v>153</v>
      </c>
      <c r="I91" s="0" t="s">
        <v>421</v>
      </c>
      <c r="J91" s="0" t="s">
        <v>263</v>
      </c>
      <c r="K91" s="0" t="s">
        <v>396</v>
      </c>
      <c r="L91" s="0" t="n">
        <v>1.1839</v>
      </c>
      <c r="M91" s="0" t="s">
        <v>422</v>
      </c>
      <c r="N91" s="0" t="n">
        <v>0.165</v>
      </c>
      <c r="O91" s="0" t="n">
        <v>100.6315</v>
      </c>
      <c r="P91" s="0" t="n">
        <v>83.02</v>
      </c>
      <c r="Q91" s="0" t="s">
        <v>156</v>
      </c>
      <c r="R91" s="0" t="s">
        <v>264</v>
      </c>
      <c r="S91" s="0" t="n">
        <v>259</v>
      </c>
      <c r="T91" s="92" t="n">
        <v>0.031913</v>
      </c>
      <c r="U91" s="0" t="n">
        <v>2</v>
      </c>
      <c r="V91" s="0" t="s">
        <v>630</v>
      </c>
      <c r="W91" s="0" t="s">
        <v>398</v>
      </c>
      <c r="X91" s="0" t="n">
        <v>5</v>
      </c>
      <c r="Y91" s="0" t="s">
        <v>399</v>
      </c>
      <c r="Z91" s="0" t="n">
        <v>0</v>
      </c>
      <c r="AA91" s="0" t="n">
        <v>0</v>
      </c>
      <c r="AB91" s="0" t="s">
        <v>400</v>
      </c>
      <c r="AC91" s="0" t="n">
        <v>0</v>
      </c>
      <c r="AD91" s="0" t="s">
        <v>631</v>
      </c>
      <c r="AE91" s="0" t="s">
        <v>633</v>
      </c>
      <c r="AG91" s="0" t="s">
        <v>426</v>
      </c>
    </row>
    <row r="92" customFormat="false" ht="15" hidden="false" customHeight="false" outlineLevel="0" collapsed="false">
      <c r="A92" s="0" t="s">
        <v>276</v>
      </c>
      <c r="B92" s="0" t="s">
        <v>392</v>
      </c>
      <c r="C92" s="0" t="s">
        <v>393</v>
      </c>
      <c r="D92" s="0" t="s">
        <v>420</v>
      </c>
      <c r="F92" s="0" t="n">
        <v>1</v>
      </c>
      <c r="G92" s="0" t="s">
        <v>394</v>
      </c>
      <c r="H92" s="0" t="s">
        <v>168</v>
      </c>
      <c r="I92" s="0" t="s">
        <v>467</v>
      </c>
      <c r="J92" s="0" t="s">
        <v>188</v>
      </c>
      <c r="K92" s="0" t="s">
        <v>168</v>
      </c>
      <c r="L92" s="0" t="n">
        <v>1.2492</v>
      </c>
      <c r="M92" s="0" t="s">
        <v>422</v>
      </c>
      <c r="N92" s="0" t="n">
        <v>0.084</v>
      </c>
      <c r="O92" s="0" t="n">
        <v>106.182</v>
      </c>
      <c r="P92" s="0" t="n">
        <v>44.6</v>
      </c>
      <c r="Q92" s="0" t="s">
        <v>156</v>
      </c>
      <c r="R92" s="0" t="s">
        <v>189</v>
      </c>
      <c r="S92" s="0" t="n">
        <v>180</v>
      </c>
      <c r="T92" s="92" t="n">
        <v>0.251737</v>
      </c>
      <c r="U92" s="0" t="n">
        <v>1</v>
      </c>
      <c r="V92" s="0" t="s">
        <v>634</v>
      </c>
      <c r="W92" s="0" t="s">
        <v>398</v>
      </c>
      <c r="X92" s="0" t="n">
        <v>5</v>
      </c>
      <c r="Y92" s="0" t="s">
        <v>399</v>
      </c>
      <c r="Z92" s="0" t="n">
        <v>0</v>
      </c>
      <c r="AA92" s="0" t="n">
        <v>0</v>
      </c>
      <c r="AB92" s="0" t="s">
        <v>400</v>
      </c>
      <c r="AC92" s="0" t="n">
        <v>0</v>
      </c>
      <c r="AD92" s="0" t="s">
        <v>635</v>
      </c>
      <c r="AE92" s="0" t="s">
        <v>636</v>
      </c>
      <c r="AG92" s="0" t="s">
        <v>392</v>
      </c>
    </row>
    <row r="93" customFormat="false" ht="15" hidden="false" customHeight="false" outlineLevel="0" collapsed="false">
      <c r="A93" s="0" t="s">
        <v>154</v>
      </c>
      <c r="B93" s="0" t="s">
        <v>419</v>
      </c>
      <c r="C93" s="0" t="s">
        <v>393</v>
      </c>
      <c r="D93" s="0" t="s">
        <v>156</v>
      </c>
      <c r="F93" s="0" t="n">
        <v>1</v>
      </c>
      <c r="G93" s="0" t="s">
        <v>394</v>
      </c>
      <c r="H93" s="0" t="s">
        <v>153</v>
      </c>
      <c r="I93" s="0" t="s">
        <v>395</v>
      </c>
      <c r="J93" s="0" t="s">
        <v>154</v>
      </c>
      <c r="K93" s="0" t="s">
        <v>396</v>
      </c>
      <c r="L93" s="0" t="n">
        <v>1.1839</v>
      </c>
      <c r="M93" s="0" t="s">
        <v>149</v>
      </c>
      <c r="N93" s="0" t="n">
        <v>1.85</v>
      </c>
      <c r="O93" s="0" t="n">
        <v>100.6315</v>
      </c>
      <c r="P93" s="0" t="n">
        <v>186.17</v>
      </c>
      <c r="Q93" s="0" t="s">
        <v>156</v>
      </c>
      <c r="R93" s="0" t="s">
        <v>281</v>
      </c>
      <c r="S93" s="0" t="n">
        <v>750</v>
      </c>
      <c r="T93" s="92" t="n">
        <v>0.250329</v>
      </c>
      <c r="U93" s="0" t="n">
        <v>1</v>
      </c>
      <c r="V93" s="0" t="s">
        <v>637</v>
      </c>
      <c r="W93" s="0" t="s">
        <v>398</v>
      </c>
      <c r="X93" s="0" t="n">
        <v>1</v>
      </c>
      <c r="Y93" s="0" t="s">
        <v>399</v>
      </c>
      <c r="Z93" s="0" t="n">
        <v>0</v>
      </c>
      <c r="AA93" s="0" t="n">
        <v>0</v>
      </c>
      <c r="AB93" s="0" t="s">
        <v>400</v>
      </c>
      <c r="AC93" s="0" t="n">
        <v>0</v>
      </c>
      <c r="AD93" s="0" t="s">
        <v>638</v>
      </c>
      <c r="AE93" s="0" t="s">
        <v>639</v>
      </c>
      <c r="AG93" s="0" t="s">
        <v>403</v>
      </c>
    </row>
    <row r="94" customFormat="false" ht="15" hidden="false" customHeight="false" outlineLevel="0" collapsed="false">
      <c r="A94" s="0" t="s">
        <v>283</v>
      </c>
      <c r="B94" s="0" t="s">
        <v>419</v>
      </c>
      <c r="C94" s="0" t="s">
        <v>393</v>
      </c>
      <c r="D94" s="0" t="s">
        <v>156</v>
      </c>
      <c r="F94" s="0" t="n">
        <v>1</v>
      </c>
      <c r="G94" s="0" t="s">
        <v>394</v>
      </c>
      <c r="H94" s="0" t="s">
        <v>153</v>
      </c>
      <c r="I94" s="0" t="s">
        <v>395</v>
      </c>
      <c r="J94" s="0" t="s">
        <v>283</v>
      </c>
      <c r="K94" s="0" t="s">
        <v>396</v>
      </c>
      <c r="L94" s="0" t="n">
        <v>1.1839</v>
      </c>
      <c r="M94" s="0" t="s">
        <v>149</v>
      </c>
      <c r="N94" s="0" t="n">
        <v>0.9</v>
      </c>
      <c r="O94" s="0" t="n">
        <v>100.6315</v>
      </c>
      <c r="P94" s="0" t="n">
        <v>90.57</v>
      </c>
      <c r="Q94" s="0" t="s">
        <v>156</v>
      </c>
      <c r="R94" s="0" t="s">
        <v>281</v>
      </c>
      <c r="S94" s="0" t="n">
        <v>365</v>
      </c>
      <c r="T94" s="92" t="n">
        <v>0.250606</v>
      </c>
      <c r="U94" s="0" t="n">
        <v>1</v>
      </c>
      <c r="V94" s="0" t="s">
        <v>640</v>
      </c>
      <c r="W94" s="0" t="s">
        <v>398</v>
      </c>
      <c r="X94" s="0" t="n">
        <v>1</v>
      </c>
      <c r="Y94" s="0" t="s">
        <v>399</v>
      </c>
      <c r="Z94" s="0" t="n">
        <v>0</v>
      </c>
      <c r="AA94" s="0" t="n">
        <v>0</v>
      </c>
      <c r="AB94" s="0" t="s">
        <v>400</v>
      </c>
      <c r="AC94" s="0" t="n">
        <v>0</v>
      </c>
      <c r="AD94" s="0" t="s">
        <v>641</v>
      </c>
      <c r="AE94" s="0" t="s">
        <v>642</v>
      </c>
      <c r="AG94" s="0" t="s">
        <v>392</v>
      </c>
    </row>
    <row r="95" customFormat="false" ht="15" hidden="false" customHeight="false" outlineLevel="0" collapsed="false">
      <c r="A95" s="0" t="s">
        <v>285</v>
      </c>
      <c r="B95" s="0" t="s">
        <v>419</v>
      </c>
      <c r="C95" s="0" t="s">
        <v>393</v>
      </c>
      <c r="D95" s="0" t="s">
        <v>156</v>
      </c>
      <c r="F95" s="0" t="n">
        <v>1</v>
      </c>
      <c r="G95" s="0" t="s">
        <v>394</v>
      </c>
      <c r="H95" s="0" t="s">
        <v>153</v>
      </c>
      <c r="I95" s="0" t="s">
        <v>395</v>
      </c>
      <c r="J95" s="0" t="s">
        <v>285</v>
      </c>
      <c r="K95" s="0" t="s">
        <v>396</v>
      </c>
      <c r="L95" s="0" t="n">
        <v>1.1839</v>
      </c>
      <c r="M95" s="0" t="s">
        <v>149</v>
      </c>
      <c r="N95" s="0" t="n">
        <v>0.75</v>
      </c>
      <c r="O95" s="0" t="n">
        <v>100.6315</v>
      </c>
      <c r="P95" s="0" t="n">
        <v>75.47</v>
      </c>
      <c r="Q95" s="0" t="s">
        <v>156</v>
      </c>
      <c r="R95" s="0" t="s">
        <v>281</v>
      </c>
      <c r="S95" s="0" t="n">
        <v>304</v>
      </c>
      <c r="T95" s="92" t="n">
        <v>0.250196</v>
      </c>
      <c r="U95" s="0" t="n">
        <v>1</v>
      </c>
      <c r="V95" s="0" t="s">
        <v>643</v>
      </c>
      <c r="W95" s="0" t="s">
        <v>398</v>
      </c>
      <c r="X95" s="0" t="n">
        <v>1</v>
      </c>
      <c r="Y95" s="0" t="s">
        <v>399</v>
      </c>
      <c r="Z95" s="0" t="n">
        <v>0</v>
      </c>
      <c r="AA95" s="0" t="n">
        <v>0</v>
      </c>
      <c r="AB95" s="0" t="s">
        <v>400</v>
      </c>
      <c r="AC95" s="0" t="n">
        <v>0</v>
      </c>
      <c r="AD95" s="0" t="s">
        <v>644</v>
      </c>
      <c r="AE95" s="0" t="s">
        <v>645</v>
      </c>
      <c r="AG95" s="0" t="s">
        <v>392</v>
      </c>
    </row>
    <row r="96" customFormat="false" ht="15" hidden="false" customHeight="false" outlineLevel="0" collapsed="false">
      <c r="A96" s="0" t="s">
        <v>276</v>
      </c>
      <c r="B96" s="0" t="s">
        <v>392</v>
      </c>
      <c r="C96" s="0" t="s">
        <v>577</v>
      </c>
      <c r="D96" s="0" t="s">
        <v>156</v>
      </c>
      <c r="F96" s="0" t="n">
        <v>1</v>
      </c>
      <c r="G96" s="0" t="s">
        <v>394</v>
      </c>
      <c r="H96" s="0" t="s">
        <v>168</v>
      </c>
      <c r="I96" s="0" t="s">
        <v>467</v>
      </c>
      <c r="J96" s="0" t="s">
        <v>188</v>
      </c>
      <c r="K96" s="0" t="s">
        <v>168</v>
      </c>
      <c r="L96" s="0" t="n">
        <v>1.2492</v>
      </c>
      <c r="M96" s="0" t="s">
        <v>422</v>
      </c>
      <c r="N96" s="0" t="n">
        <v>0.126</v>
      </c>
      <c r="O96" s="0" t="n">
        <v>106.182</v>
      </c>
      <c r="P96" s="0" t="n">
        <v>66.89</v>
      </c>
      <c r="Q96" s="0" t="s">
        <v>156</v>
      </c>
      <c r="R96" s="0" t="s">
        <v>189</v>
      </c>
      <c r="S96" s="0" t="n">
        <v>270</v>
      </c>
      <c r="T96" s="92" t="n">
        <v>0.251737</v>
      </c>
      <c r="U96" s="0" t="n">
        <v>1</v>
      </c>
      <c r="V96" s="0" t="s">
        <v>646</v>
      </c>
      <c r="W96" s="0" t="s">
        <v>398</v>
      </c>
      <c r="X96" s="0" t="n">
        <v>5</v>
      </c>
      <c r="Y96" s="0" t="s">
        <v>399</v>
      </c>
      <c r="Z96" s="0" t="n">
        <v>0</v>
      </c>
      <c r="AA96" s="0" t="n">
        <v>0</v>
      </c>
      <c r="AB96" s="0" t="s">
        <v>400</v>
      </c>
      <c r="AC96" s="0" t="n">
        <v>0</v>
      </c>
      <c r="AD96" s="0" t="s">
        <v>647</v>
      </c>
      <c r="AE96" s="0" t="s">
        <v>648</v>
      </c>
      <c r="AG96" s="0" t="s">
        <v>392</v>
      </c>
    </row>
    <row r="97" customFormat="false" ht="15" hidden="false" customHeight="false" outlineLevel="0" collapsed="false">
      <c r="A97" s="0" t="s">
        <v>184</v>
      </c>
      <c r="B97" s="0" t="s">
        <v>392</v>
      </c>
      <c r="C97" s="0" t="s">
        <v>577</v>
      </c>
      <c r="D97" s="0" t="s">
        <v>420</v>
      </c>
      <c r="F97" s="0" t="n">
        <v>1</v>
      </c>
      <c r="G97" s="0" t="s">
        <v>394</v>
      </c>
      <c r="H97" s="0" t="s">
        <v>153</v>
      </c>
      <c r="I97" s="0" t="s">
        <v>450</v>
      </c>
      <c r="J97" s="0" t="s">
        <v>291</v>
      </c>
      <c r="K97" s="0" t="s">
        <v>396</v>
      </c>
      <c r="L97" s="0" t="n">
        <v>1.1839</v>
      </c>
      <c r="M97" s="0" t="s">
        <v>422</v>
      </c>
      <c r="N97" s="0" t="n">
        <v>0.08</v>
      </c>
      <c r="O97" s="0" t="n">
        <v>100.6315</v>
      </c>
      <c r="P97" s="0" t="n">
        <v>40.25</v>
      </c>
      <c r="Q97" s="0" t="s">
        <v>156</v>
      </c>
      <c r="R97" s="0" t="s">
        <v>292</v>
      </c>
      <c r="S97" s="0" t="n">
        <v>163</v>
      </c>
      <c r="T97" s="92" t="n">
        <v>0.254182</v>
      </c>
      <c r="U97" s="0" t="n">
        <v>2</v>
      </c>
      <c r="V97" s="0" t="s">
        <v>649</v>
      </c>
      <c r="W97" s="0" t="s">
        <v>398</v>
      </c>
      <c r="X97" s="0" t="n">
        <v>5</v>
      </c>
      <c r="Y97" s="0" t="s">
        <v>399</v>
      </c>
      <c r="Z97" s="0" t="n">
        <v>0</v>
      </c>
      <c r="AA97" s="0" t="n">
        <v>0</v>
      </c>
      <c r="AB97" s="0" t="s">
        <v>400</v>
      </c>
      <c r="AC97" s="0" t="n">
        <v>0</v>
      </c>
      <c r="AD97" s="0" t="s">
        <v>650</v>
      </c>
      <c r="AE97" s="0" t="s">
        <v>651</v>
      </c>
      <c r="AG97" s="0" t="s">
        <v>392</v>
      </c>
    </row>
    <row r="98" customFormat="false" ht="15" hidden="false" customHeight="false" outlineLevel="0" collapsed="false">
      <c r="A98" s="0" t="s">
        <v>184</v>
      </c>
      <c r="B98" s="0" t="s">
        <v>392</v>
      </c>
      <c r="C98" s="0" t="s">
        <v>577</v>
      </c>
      <c r="D98" s="0" t="s">
        <v>420</v>
      </c>
      <c r="F98" s="0" t="n">
        <v>2</v>
      </c>
      <c r="G98" s="0" t="s">
        <v>430</v>
      </c>
      <c r="H98" s="0" t="s">
        <v>168</v>
      </c>
      <c r="I98" s="0" t="s">
        <v>450</v>
      </c>
      <c r="J98" s="0" t="s">
        <v>291</v>
      </c>
      <c r="K98" s="0" t="s">
        <v>168</v>
      </c>
      <c r="L98" s="0" t="n">
        <v>1.2492</v>
      </c>
      <c r="M98" s="0" t="s">
        <v>422</v>
      </c>
      <c r="N98" s="0" t="n">
        <v>0.1</v>
      </c>
      <c r="O98" s="0" t="n">
        <v>106.182</v>
      </c>
      <c r="P98" s="0" t="n">
        <v>53.09</v>
      </c>
      <c r="Q98" s="0" t="s">
        <v>156</v>
      </c>
      <c r="R98" s="0" t="s">
        <v>292</v>
      </c>
      <c r="S98" s="0" t="n">
        <v>163</v>
      </c>
      <c r="T98" s="92" t="n">
        <v>0.016307</v>
      </c>
      <c r="U98" s="0" t="n">
        <v>2</v>
      </c>
      <c r="V98" s="0" t="s">
        <v>649</v>
      </c>
      <c r="W98" s="0" t="s">
        <v>398</v>
      </c>
      <c r="X98" s="0" t="n">
        <v>5</v>
      </c>
      <c r="Y98" s="0" t="s">
        <v>399</v>
      </c>
      <c r="Z98" s="0" t="n">
        <v>0</v>
      </c>
      <c r="AA98" s="0" t="n">
        <v>0</v>
      </c>
      <c r="AB98" s="0" t="s">
        <v>400</v>
      </c>
      <c r="AC98" s="0" t="n">
        <v>0</v>
      </c>
      <c r="AD98" s="0" t="s">
        <v>650</v>
      </c>
      <c r="AE98" s="0" t="s">
        <v>652</v>
      </c>
      <c r="AG98" s="0" t="s">
        <v>392</v>
      </c>
    </row>
    <row r="99" customFormat="false" ht="15" hidden="false" customHeight="false" outlineLevel="0" collapsed="false">
      <c r="A99" s="0" t="s">
        <v>184</v>
      </c>
      <c r="B99" s="0" t="s">
        <v>403</v>
      </c>
      <c r="C99" s="0" t="s">
        <v>577</v>
      </c>
      <c r="D99" s="0" t="s">
        <v>420</v>
      </c>
      <c r="F99" s="0" t="n">
        <v>1</v>
      </c>
      <c r="G99" s="0" t="s">
        <v>394</v>
      </c>
      <c r="H99" s="0" t="s">
        <v>153</v>
      </c>
      <c r="I99" s="0" t="s">
        <v>450</v>
      </c>
      <c r="J99" s="0" t="s">
        <v>291</v>
      </c>
      <c r="K99" s="0" t="s">
        <v>396</v>
      </c>
      <c r="L99" s="0" t="n">
        <v>1.1839</v>
      </c>
      <c r="M99" s="0" t="s">
        <v>422</v>
      </c>
      <c r="N99" s="0" t="n">
        <v>0.12</v>
      </c>
      <c r="O99" s="0" t="n">
        <v>100.6315</v>
      </c>
      <c r="P99" s="0" t="n">
        <v>60.38</v>
      </c>
      <c r="Q99" s="0" t="s">
        <v>156</v>
      </c>
      <c r="R99" s="0" t="s">
        <v>292</v>
      </c>
      <c r="S99" s="0" t="n">
        <v>244</v>
      </c>
      <c r="T99" s="92" t="n">
        <v>0.252654</v>
      </c>
      <c r="U99" s="0" t="n">
        <v>2</v>
      </c>
      <c r="V99" s="0" t="s">
        <v>653</v>
      </c>
      <c r="W99" s="0" t="s">
        <v>398</v>
      </c>
      <c r="X99" s="0" t="n">
        <v>5</v>
      </c>
      <c r="Y99" s="0" t="s">
        <v>399</v>
      </c>
      <c r="Z99" s="0" t="n">
        <v>0</v>
      </c>
      <c r="AA99" s="0" t="n">
        <v>0</v>
      </c>
      <c r="AB99" s="0" t="s">
        <v>400</v>
      </c>
      <c r="AC99" s="0" t="n">
        <v>0</v>
      </c>
      <c r="AD99" s="0" t="s">
        <v>654</v>
      </c>
      <c r="AE99" s="0" t="s">
        <v>655</v>
      </c>
      <c r="AG99" s="0" t="s">
        <v>392</v>
      </c>
    </row>
    <row r="100" customFormat="false" ht="15" hidden="false" customHeight="false" outlineLevel="0" collapsed="false">
      <c r="A100" s="0" t="s">
        <v>184</v>
      </c>
      <c r="B100" s="0" t="s">
        <v>403</v>
      </c>
      <c r="C100" s="0" t="s">
        <v>577</v>
      </c>
      <c r="D100" s="0" t="s">
        <v>420</v>
      </c>
      <c r="F100" s="0" t="n">
        <v>2</v>
      </c>
      <c r="G100" s="0" t="s">
        <v>430</v>
      </c>
      <c r="H100" s="0" t="s">
        <v>168</v>
      </c>
      <c r="I100" s="0" t="s">
        <v>450</v>
      </c>
      <c r="J100" s="0" t="s">
        <v>291</v>
      </c>
      <c r="K100" s="0" t="s">
        <v>168</v>
      </c>
      <c r="L100" s="0" t="n">
        <v>1.2492</v>
      </c>
      <c r="M100" s="0" t="s">
        <v>422</v>
      </c>
      <c r="N100" s="0" t="n">
        <v>0.15</v>
      </c>
      <c r="O100" s="0" t="n">
        <v>106.182</v>
      </c>
      <c r="P100" s="0" t="n">
        <v>79.64</v>
      </c>
      <c r="Q100" s="0" t="s">
        <v>156</v>
      </c>
      <c r="R100" s="0" t="s">
        <v>292</v>
      </c>
      <c r="S100" s="0" t="n">
        <v>244</v>
      </c>
      <c r="T100" s="92" t="n">
        <v>0.014291</v>
      </c>
      <c r="U100" s="0" t="n">
        <v>2</v>
      </c>
      <c r="V100" s="0" t="s">
        <v>653</v>
      </c>
      <c r="W100" s="0" t="s">
        <v>398</v>
      </c>
      <c r="X100" s="0" t="n">
        <v>5</v>
      </c>
      <c r="Y100" s="0" t="s">
        <v>399</v>
      </c>
      <c r="Z100" s="0" t="n">
        <v>0</v>
      </c>
      <c r="AA100" s="0" t="n">
        <v>0</v>
      </c>
      <c r="AB100" s="0" t="s">
        <v>400</v>
      </c>
      <c r="AC100" s="0" t="n">
        <v>0</v>
      </c>
      <c r="AD100" s="0" t="s">
        <v>654</v>
      </c>
      <c r="AE100" s="0" t="s">
        <v>656</v>
      </c>
      <c r="AG100" s="0" t="s">
        <v>392</v>
      </c>
    </row>
    <row r="101" customFormat="false" ht="15" hidden="false" customHeight="false" outlineLevel="0" collapsed="false">
      <c r="A101" s="0" t="s">
        <v>345</v>
      </c>
      <c r="B101" s="0" t="s">
        <v>490</v>
      </c>
      <c r="C101" s="0" t="s">
        <v>657</v>
      </c>
      <c r="D101" s="0" t="s">
        <v>484</v>
      </c>
      <c r="F101" s="0" t="n">
        <v>1</v>
      </c>
      <c r="G101" s="0" t="s">
        <v>394</v>
      </c>
      <c r="H101" s="0" t="s">
        <v>153</v>
      </c>
      <c r="I101" s="0" t="s">
        <v>539</v>
      </c>
      <c r="J101" s="0" t="s">
        <v>296</v>
      </c>
      <c r="K101" s="0" t="s">
        <v>396</v>
      </c>
      <c r="L101" s="0" t="n">
        <v>1.1839</v>
      </c>
      <c r="M101" s="0" t="s">
        <v>485</v>
      </c>
      <c r="N101" s="0" t="n">
        <v>0.025</v>
      </c>
      <c r="O101" s="0" t="n">
        <v>100.6315</v>
      </c>
      <c r="P101" s="0" t="n">
        <v>2.52</v>
      </c>
      <c r="Q101" s="0" t="s">
        <v>156</v>
      </c>
      <c r="R101" s="0" t="s">
        <v>297</v>
      </c>
      <c r="S101" s="0" t="n">
        <v>14</v>
      </c>
      <c r="T101" s="92" t="n">
        <v>0.457284</v>
      </c>
      <c r="U101" s="0" t="n">
        <v>2</v>
      </c>
      <c r="V101" s="0" t="s">
        <v>658</v>
      </c>
      <c r="W101" s="0" t="s">
        <v>398</v>
      </c>
      <c r="X101" s="0" t="n">
        <v>1</v>
      </c>
      <c r="Y101" s="0" t="s">
        <v>399</v>
      </c>
      <c r="Z101" s="0" t="n">
        <v>2</v>
      </c>
      <c r="AA101" s="0" t="n">
        <v>8</v>
      </c>
      <c r="AB101" s="0" t="s">
        <v>400</v>
      </c>
      <c r="AC101" s="0" t="n">
        <v>0</v>
      </c>
      <c r="AD101" s="0" t="s">
        <v>659</v>
      </c>
      <c r="AE101" s="0" t="s">
        <v>660</v>
      </c>
      <c r="AG101" s="0" t="s">
        <v>490</v>
      </c>
      <c r="AH101" s="0" t="n">
        <v>1.049</v>
      </c>
    </row>
    <row r="102" customFormat="false" ht="15" hidden="false" customHeight="false" outlineLevel="0" collapsed="false">
      <c r="A102" s="0" t="s">
        <v>345</v>
      </c>
      <c r="B102" s="0" t="s">
        <v>490</v>
      </c>
      <c r="C102" s="0" t="s">
        <v>657</v>
      </c>
      <c r="D102" s="0" t="s">
        <v>484</v>
      </c>
      <c r="F102" s="0" t="n">
        <v>2</v>
      </c>
      <c r="G102" s="0" t="s">
        <v>430</v>
      </c>
      <c r="H102" s="0" t="s">
        <v>168</v>
      </c>
      <c r="I102" s="0" t="s">
        <v>539</v>
      </c>
      <c r="J102" s="0" t="s">
        <v>296</v>
      </c>
      <c r="K102" s="0" t="s">
        <v>168</v>
      </c>
      <c r="L102" s="0" t="n">
        <v>1.2492</v>
      </c>
      <c r="M102" s="0" t="s">
        <v>485</v>
      </c>
      <c r="N102" s="0" t="n">
        <v>0.0315</v>
      </c>
      <c r="O102" s="0" t="n">
        <v>106.182</v>
      </c>
      <c r="P102" s="0" t="n">
        <v>3.34</v>
      </c>
      <c r="Q102" s="0" t="s">
        <v>156</v>
      </c>
      <c r="R102" s="0" t="s">
        <v>297</v>
      </c>
      <c r="S102" s="0" t="n">
        <v>14</v>
      </c>
      <c r="T102" s="92" t="n">
        <v>0.278461</v>
      </c>
      <c r="U102" s="0" t="n">
        <v>2</v>
      </c>
      <c r="V102" s="0" t="s">
        <v>658</v>
      </c>
      <c r="W102" s="0" t="s">
        <v>398</v>
      </c>
      <c r="X102" s="0" t="n">
        <v>1</v>
      </c>
      <c r="Y102" s="0" t="s">
        <v>399</v>
      </c>
      <c r="Z102" s="0" t="n">
        <v>2</v>
      </c>
      <c r="AA102" s="0" t="n">
        <v>8</v>
      </c>
      <c r="AB102" s="0" t="s">
        <v>400</v>
      </c>
      <c r="AC102" s="0" t="n">
        <v>0</v>
      </c>
      <c r="AD102" s="0" t="s">
        <v>659</v>
      </c>
      <c r="AE102" s="0" t="s">
        <v>661</v>
      </c>
      <c r="AG102" s="0" t="s">
        <v>490</v>
      </c>
      <c r="AH102" s="0" t="n">
        <v>1.049</v>
      </c>
    </row>
    <row r="103" customFormat="false" ht="15" hidden="false" customHeight="false" outlineLevel="0" collapsed="false">
      <c r="A103" s="0" t="s">
        <v>154</v>
      </c>
      <c r="B103" s="0" t="s">
        <v>392</v>
      </c>
      <c r="C103" s="0" t="s">
        <v>577</v>
      </c>
      <c r="D103" s="0" t="s">
        <v>156</v>
      </c>
      <c r="F103" s="0" t="n">
        <v>1</v>
      </c>
      <c r="G103" s="0" t="s">
        <v>394</v>
      </c>
      <c r="H103" s="0" t="s">
        <v>153</v>
      </c>
      <c r="I103" s="0" t="s">
        <v>395</v>
      </c>
      <c r="J103" s="0" t="s">
        <v>154</v>
      </c>
      <c r="K103" s="0" t="s">
        <v>396</v>
      </c>
      <c r="L103" s="0" t="n">
        <v>1.1839</v>
      </c>
      <c r="M103" s="0" t="s">
        <v>149</v>
      </c>
      <c r="N103" s="0" t="n">
        <v>1.25</v>
      </c>
      <c r="O103" s="0" t="n">
        <v>100.6315</v>
      </c>
      <c r="P103" s="0" t="n">
        <v>125.79</v>
      </c>
      <c r="Q103" s="0" t="s">
        <v>156</v>
      </c>
      <c r="R103" s="0" t="s">
        <v>155</v>
      </c>
      <c r="S103" s="0" t="n">
        <v>597</v>
      </c>
      <c r="T103" s="92" t="n">
        <v>0.36365</v>
      </c>
      <c r="U103" s="0" t="n">
        <v>1</v>
      </c>
      <c r="V103" s="0" t="s">
        <v>662</v>
      </c>
      <c r="W103" s="0" t="s">
        <v>398</v>
      </c>
      <c r="X103" s="0" t="n">
        <v>1</v>
      </c>
      <c r="Y103" s="0" t="s">
        <v>399</v>
      </c>
      <c r="Z103" s="0" t="n">
        <v>0</v>
      </c>
      <c r="AA103" s="0" t="n">
        <v>0</v>
      </c>
      <c r="AB103" s="0" t="s">
        <v>400</v>
      </c>
      <c r="AC103" s="0" t="n">
        <v>0</v>
      </c>
      <c r="AD103" s="0" t="s">
        <v>663</v>
      </c>
      <c r="AE103" s="0" t="s">
        <v>664</v>
      </c>
      <c r="AG103" s="0" t="s">
        <v>403</v>
      </c>
    </row>
    <row r="104" customFormat="false" ht="15" hidden="false" customHeight="false" outlineLevel="0" collapsed="false">
      <c r="A104" s="0" t="s">
        <v>154</v>
      </c>
      <c r="B104" s="0" t="s">
        <v>403</v>
      </c>
      <c r="C104" s="0" t="s">
        <v>577</v>
      </c>
      <c r="D104" s="0" t="s">
        <v>156</v>
      </c>
      <c r="F104" s="0" t="n">
        <v>1</v>
      </c>
      <c r="G104" s="0" t="s">
        <v>394</v>
      </c>
      <c r="H104" s="0" t="s">
        <v>153</v>
      </c>
      <c r="I104" s="0" t="s">
        <v>395</v>
      </c>
      <c r="J104" s="0" t="s">
        <v>154</v>
      </c>
      <c r="K104" s="0" t="s">
        <v>396</v>
      </c>
      <c r="L104" s="0" t="n">
        <v>1.1839</v>
      </c>
      <c r="M104" s="0" t="s">
        <v>149</v>
      </c>
      <c r="N104" s="0" t="n">
        <v>1.275</v>
      </c>
      <c r="O104" s="0" t="n">
        <v>100.6315</v>
      </c>
      <c r="P104" s="0" t="n">
        <v>128.31</v>
      </c>
      <c r="Q104" s="0" t="s">
        <v>156</v>
      </c>
      <c r="R104" s="0" t="s">
        <v>155</v>
      </c>
      <c r="S104" s="0" t="n">
        <v>597</v>
      </c>
      <c r="T104" s="92" t="n">
        <v>0.350923</v>
      </c>
      <c r="U104" s="0" t="n">
        <v>1</v>
      </c>
      <c r="V104" s="0" t="s">
        <v>665</v>
      </c>
      <c r="W104" s="0" t="s">
        <v>398</v>
      </c>
      <c r="X104" s="0" t="n">
        <v>1</v>
      </c>
      <c r="Y104" s="0" t="s">
        <v>399</v>
      </c>
      <c r="Z104" s="0" t="n">
        <v>0</v>
      </c>
      <c r="AA104" s="0" t="n">
        <v>0</v>
      </c>
      <c r="AB104" s="0" t="s">
        <v>400</v>
      </c>
      <c r="AC104" s="0" t="n">
        <v>0</v>
      </c>
      <c r="AD104" s="0" t="s">
        <v>666</v>
      </c>
      <c r="AE104" s="0" t="s">
        <v>667</v>
      </c>
      <c r="AG104" s="0" t="s">
        <v>403</v>
      </c>
    </row>
    <row r="105" customFormat="false" ht="15" hidden="false" customHeight="false" outlineLevel="0" collapsed="false">
      <c r="A105" s="0" t="s">
        <v>283</v>
      </c>
      <c r="B105" s="0" t="s">
        <v>392</v>
      </c>
      <c r="C105" s="0" t="s">
        <v>577</v>
      </c>
      <c r="D105" s="0" t="s">
        <v>156</v>
      </c>
      <c r="F105" s="0" t="n">
        <v>1</v>
      </c>
      <c r="G105" s="0" t="s">
        <v>394</v>
      </c>
      <c r="H105" s="0" t="s">
        <v>153</v>
      </c>
      <c r="I105" s="0" t="s">
        <v>395</v>
      </c>
      <c r="J105" s="0" t="s">
        <v>154</v>
      </c>
      <c r="K105" s="0" t="s">
        <v>396</v>
      </c>
      <c r="L105" s="0" t="n">
        <v>1.1839</v>
      </c>
      <c r="M105" s="0" t="s">
        <v>149</v>
      </c>
      <c r="N105" s="0" t="n">
        <v>0.3</v>
      </c>
      <c r="O105" s="0" t="n">
        <v>100.6315</v>
      </c>
      <c r="P105" s="0" t="n">
        <v>30.19</v>
      </c>
      <c r="Q105" s="0" t="s">
        <v>156</v>
      </c>
      <c r="R105" s="0" t="s">
        <v>155</v>
      </c>
      <c r="S105" s="0" t="n">
        <v>122</v>
      </c>
      <c r="T105" s="92" t="n">
        <v>0.252654</v>
      </c>
      <c r="U105" s="0" t="n">
        <v>1</v>
      </c>
      <c r="V105" s="0" t="s">
        <v>668</v>
      </c>
      <c r="W105" s="0" t="s">
        <v>398</v>
      </c>
      <c r="X105" s="0" t="n">
        <v>1</v>
      </c>
      <c r="Y105" s="0" t="s">
        <v>399</v>
      </c>
      <c r="Z105" s="0" t="n">
        <v>0</v>
      </c>
      <c r="AA105" s="0" t="n">
        <v>0</v>
      </c>
      <c r="AB105" s="0" t="s">
        <v>400</v>
      </c>
      <c r="AC105" s="0" t="n">
        <v>0</v>
      </c>
      <c r="AD105" s="0" t="s">
        <v>669</v>
      </c>
      <c r="AE105" s="0" t="s">
        <v>670</v>
      </c>
      <c r="AG105" s="0" t="s">
        <v>392</v>
      </c>
    </row>
    <row r="106" customFormat="false" ht="15" hidden="false" customHeight="false" outlineLevel="0" collapsed="false">
      <c r="A106" s="0" t="s">
        <v>283</v>
      </c>
      <c r="B106" s="0" t="s">
        <v>403</v>
      </c>
      <c r="C106" s="0" t="s">
        <v>577</v>
      </c>
      <c r="D106" s="0" t="s">
        <v>156</v>
      </c>
      <c r="F106" s="0" t="n">
        <v>1</v>
      </c>
      <c r="G106" s="0" t="s">
        <v>394</v>
      </c>
      <c r="H106" s="0" t="s">
        <v>153</v>
      </c>
      <c r="I106" s="0" t="s">
        <v>395</v>
      </c>
      <c r="J106" s="0" t="s">
        <v>154</v>
      </c>
      <c r="K106" s="0" t="s">
        <v>396</v>
      </c>
      <c r="L106" s="0" t="n">
        <v>1.1839</v>
      </c>
      <c r="M106" s="0" t="s">
        <v>149</v>
      </c>
      <c r="N106" s="0" t="n">
        <v>0.325</v>
      </c>
      <c r="O106" s="0" t="n">
        <v>100.6315</v>
      </c>
      <c r="P106" s="0" t="n">
        <v>32.71</v>
      </c>
      <c r="Q106" s="0" t="s">
        <v>156</v>
      </c>
      <c r="R106" s="0" t="s">
        <v>155</v>
      </c>
      <c r="S106" s="0" t="n">
        <v>132</v>
      </c>
      <c r="T106" s="92" t="n">
        <v>0.25171</v>
      </c>
      <c r="U106" s="0" t="n">
        <v>1</v>
      </c>
      <c r="V106" s="0" t="s">
        <v>671</v>
      </c>
      <c r="W106" s="0" t="s">
        <v>398</v>
      </c>
      <c r="X106" s="0" t="n">
        <v>1</v>
      </c>
      <c r="Y106" s="0" t="s">
        <v>399</v>
      </c>
      <c r="Z106" s="0" t="n">
        <v>0</v>
      </c>
      <c r="AA106" s="0" t="n">
        <v>0</v>
      </c>
      <c r="AB106" s="0" t="s">
        <v>400</v>
      </c>
      <c r="AC106" s="0" t="n">
        <v>0</v>
      </c>
      <c r="AD106" s="0" t="s">
        <v>672</v>
      </c>
      <c r="AE106" s="0" t="s">
        <v>673</v>
      </c>
      <c r="AG106" s="0" t="s">
        <v>392</v>
      </c>
    </row>
    <row r="107" customFormat="false" ht="15" hidden="false" customHeight="false" outlineLevel="0" collapsed="false">
      <c r="A107" s="0" t="s">
        <v>285</v>
      </c>
      <c r="B107" s="0" t="s">
        <v>392</v>
      </c>
      <c r="C107" s="0" t="s">
        <v>577</v>
      </c>
      <c r="D107" s="0" t="s">
        <v>156</v>
      </c>
      <c r="F107" s="0" t="n">
        <v>1</v>
      </c>
      <c r="G107" s="0" t="s">
        <v>394</v>
      </c>
      <c r="H107" s="0" t="s">
        <v>153</v>
      </c>
      <c r="I107" s="0" t="s">
        <v>395</v>
      </c>
      <c r="J107" s="0" t="s">
        <v>154</v>
      </c>
      <c r="K107" s="0" t="s">
        <v>396</v>
      </c>
      <c r="L107" s="0" t="n">
        <v>1.1839</v>
      </c>
      <c r="M107" s="0" t="s">
        <v>149</v>
      </c>
      <c r="N107" s="0" t="n">
        <v>0.15</v>
      </c>
      <c r="O107" s="0" t="n">
        <v>100.6315</v>
      </c>
      <c r="P107" s="0" t="n">
        <v>15.09</v>
      </c>
      <c r="Q107" s="0" t="s">
        <v>156</v>
      </c>
      <c r="R107" s="0" t="s">
        <v>155</v>
      </c>
      <c r="S107" s="0" t="n">
        <v>66</v>
      </c>
      <c r="T107" s="92" t="n">
        <v>0.309271</v>
      </c>
      <c r="U107" s="0" t="n">
        <v>1</v>
      </c>
      <c r="V107" s="0" t="s">
        <v>674</v>
      </c>
      <c r="W107" s="0" t="s">
        <v>398</v>
      </c>
      <c r="X107" s="0" t="n">
        <v>1</v>
      </c>
      <c r="Y107" s="0" t="s">
        <v>399</v>
      </c>
      <c r="Z107" s="0" t="n">
        <v>0</v>
      </c>
      <c r="AA107" s="0" t="n">
        <v>0</v>
      </c>
      <c r="AB107" s="0" t="s">
        <v>400</v>
      </c>
      <c r="AC107" s="0" t="n">
        <v>0</v>
      </c>
      <c r="AD107" s="0" t="s">
        <v>675</v>
      </c>
      <c r="AE107" s="0" t="s">
        <v>676</v>
      </c>
      <c r="AG107" s="0" t="s">
        <v>392</v>
      </c>
    </row>
    <row r="108" customFormat="false" ht="15" hidden="false" customHeight="false" outlineLevel="0" collapsed="false">
      <c r="A108" s="0" t="s">
        <v>285</v>
      </c>
      <c r="B108" s="0" t="s">
        <v>403</v>
      </c>
      <c r="C108" s="0" t="s">
        <v>577</v>
      </c>
      <c r="D108" s="0" t="s">
        <v>156</v>
      </c>
      <c r="F108" s="0" t="n">
        <v>1</v>
      </c>
      <c r="G108" s="0" t="s">
        <v>394</v>
      </c>
      <c r="H108" s="0" t="s">
        <v>153</v>
      </c>
      <c r="I108" s="0" t="s">
        <v>395</v>
      </c>
      <c r="J108" s="0" t="s">
        <v>154</v>
      </c>
      <c r="K108" s="0" t="s">
        <v>396</v>
      </c>
      <c r="L108" s="0" t="n">
        <v>1.1839</v>
      </c>
      <c r="M108" s="0" t="s">
        <v>149</v>
      </c>
      <c r="N108" s="0" t="n">
        <v>0.175</v>
      </c>
      <c r="O108" s="0" t="n">
        <v>100.6315</v>
      </c>
      <c r="P108" s="0" t="n">
        <v>17.61</v>
      </c>
      <c r="Q108" s="0" t="s">
        <v>156</v>
      </c>
      <c r="R108" s="0" t="s">
        <v>155</v>
      </c>
      <c r="S108" s="0" t="n">
        <v>71</v>
      </c>
      <c r="T108" s="92" t="n">
        <v>0.2509</v>
      </c>
      <c r="U108" s="0" t="n">
        <v>1</v>
      </c>
      <c r="V108" s="0" t="s">
        <v>677</v>
      </c>
      <c r="W108" s="0" t="s">
        <v>398</v>
      </c>
      <c r="X108" s="0" t="n">
        <v>1</v>
      </c>
      <c r="Y108" s="0" t="s">
        <v>399</v>
      </c>
      <c r="Z108" s="0" t="n">
        <v>0</v>
      </c>
      <c r="AA108" s="0" t="n">
        <v>0</v>
      </c>
      <c r="AB108" s="0" t="s">
        <v>400</v>
      </c>
      <c r="AC108" s="0" t="n">
        <v>0</v>
      </c>
      <c r="AD108" s="0" t="s">
        <v>678</v>
      </c>
      <c r="AE108" s="0" t="s">
        <v>679</v>
      </c>
      <c r="AG108" s="0" t="s">
        <v>392</v>
      </c>
    </row>
    <row r="109" customFormat="false" ht="15" hidden="false" customHeight="false" outlineLevel="0" collapsed="false">
      <c r="A109" s="0" t="s">
        <v>224</v>
      </c>
      <c r="B109" s="0" t="s">
        <v>490</v>
      </c>
      <c r="C109" s="0" t="s">
        <v>680</v>
      </c>
      <c r="D109" s="0" t="s">
        <v>484</v>
      </c>
      <c r="F109" s="0" t="n">
        <v>1</v>
      </c>
      <c r="G109" s="0" t="s">
        <v>394</v>
      </c>
      <c r="H109" s="0" t="s">
        <v>153</v>
      </c>
      <c r="I109" s="0" t="s">
        <v>421</v>
      </c>
      <c r="J109" s="0" t="s">
        <v>224</v>
      </c>
      <c r="K109" s="0" t="s">
        <v>396</v>
      </c>
      <c r="L109" s="0" t="n">
        <v>1.1839</v>
      </c>
      <c r="M109" s="0" t="s">
        <v>485</v>
      </c>
      <c r="N109" s="0" t="n">
        <v>0.0325</v>
      </c>
      <c r="O109" s="0" t="n">
        <v>100.6315</v>
      </c>
      <c r="P109" s="0" t="n">
        <v>3.27</v>
      </c>
      <c r="Q109" s="0" t="s">
        <v>156</v>
      </c>
      <c r="R109" s="0" t="s">
        <v>170</v>
      </c>
      <c r="S109" s="0" t="n">
        <v>14</v>
      </c>
      <c r="T109" s="92" t="n">
        <v>0.29447</v>
      </c>
      <c r="U109" s="0" t="n">
        <v>2</v>
      </c>
      <c r="V109" s="0" t="s">
        <v>681</v>
      </c>
      <c r="W109" s="0" t="s">
        <v>398</v>
      </c>
      <c r="X109" s="0" t="n">
        <v>1</v>
      </c>
      <c r="Y109" s="0" t="s">
        <v>399</v>
      </c>
      <c r="Z109" s="0" t="n">
        <v>0</v>
      </c>
      <c r="AA109" s="0" t="n">
        <v>0</v>
      </c>
      <c r="AB109" s="0" t="s">
        <v>400</v>
      </c>
      <c r="AC109" s="0" t="n">
        <v>0</v>
      </c>
      <c r="AD109" s="0" t="s">
        <v>682</v>
      </c>
      <c r="AE109" s="0" t="s">
        <v>683</v>
      </c>
      <c r="AG109" s="0" t="s">
        <v>490</v>
      </c>
    </row>
    <row r="110" customFormat="false" ht="15" hidden="false" customHeight="false" outlineLevel="0" collapsed="false">
      <c r="A110" s="0" t="s">
        <v>224</v>
      </c>
      <c r="B110" s="0" t="s">
        <v>490</v>
      </c>
      <c r="C110" s="0" t="s">
        <v>680</v>
      </c>
      <c r="D110" s="0" t="s">
        <v>484</v>
      </c>
      <c r="F110" s="0" t="n">
        <v>2</v>
      </c>
      <c r="G110" s="0" t="s">
        <v>430</v>
      </c>
      <c r="H110" s="0" t="s">
        <v>168</v>
      </c>
      <c r="I110" s="0" t="s">
        <v>421</v>
      </c>
      <c r="J110" s="0" t="s">
        <v>224</v>
      </c>
      <c r="K110" s="0" t="s">
        <v>168</v>
      </c>
      <c r="L110" s="0" t="n">
        <v>1.2492</v>
      </c>
      <c r="M110" s="0" t="s">
        <v>485</v>
      </c>
      <c r="N110" s="0" t="n">
        <v>0.04</v>
      </c>
      <c r="O110" s="0" t="n">
        <v>106.182</v>
      </c>
      <c r="P110" s="0" t="n">
        <v>4.25</v>
      </c>
      <c r="Q110" s="0" t="s">
        <v>156</v>
      </c>
      <c r="R110" s="0" t="s">
        <v>170</v>
      </c>
      <c r="S110" s="0" t="n">
        <v>14</v>
      </c>
      <c r="T110" s="92" t="n">
        <v>0.08376</v>
      </c>
      <c r="U110" s="0" t="n">
        <v>2</v>
      </c>
      <c r="V110" s="0" t="s">
        <v>681</v>
      </c>
      <c r="W110" s="0" t="s">
        <v>398</v>
      </c>
      <c r="X110" s="0" t="n">
        <v>1</v>
      </c>
      <c r="Y110" s="0" t="s">
        <v>399</v>
      </c>
      <c r="Z110" s="0" t="n">
        <v>0</v>
      </c>
      <c r="AA110" s="0" t="n">
        <v>0</v>
      </c>
      <c r="AB110" s="0" t="s">
        <v>400</v>
      </c>
      <c r="AC110" s="0" t="n">
        <v>0</v>
      </c>
      <c r="AD110" s="0" t="s">
        <v>682</v>
      </c>
      <c r="AE110" s="0" t="s">
        <v>684</v>
      </c>
      <c r="AG110" s="0" t="s">
        <v>490</v>
      </c>
    </row>
    <row r="111" customFormat="false" ht="15" hidden="false" customHeight="false" outlineLevel="0" collapsed="false">
      <c r="A111" s="0" t="s">
        <v>224</v>
      </c>
      <c r="B111" s="0" t="s">
        <v>531</v>
      </c>
      <c r="C111" s="0" t="s">
        <v>680</v>
      </c>
      <c r="D111" s="0" t="s">
        <v>484</v>
      </c>
      <c r="F111" s="0" t="n">
        <v>1</v>
      </c>
      <c r="G111" s="0" t="s">
        <v>394</v>
      </c>
      <c r="H111" s="0" t="s">
        <v>153</v>
      </c>
      <c r="I111" s="0" t="s">
        <v>421</v>
      </c>
      <c r="J111" s="0" t="s">
        <v>224</v>
      </c>
      <c r="K111" s="0" t="s">
        <v>396</v>
      </c>
      <c r="L111" s="0" t="n">
        <v>1.1839</v>
      </c>
      <c r="M111" s="0" t="s">
        <v>485</v>
      </c>
      <c r="N111" s="0" t="n">
        <v>0.0325</v>
      </c>
      <c r="O111" s="0" t="n">
        <v>100.6315</v>
      </c>
      <c r="P111" s="0" t="n">
        <v>3.27</v>
      </c>
      <c r="Q111" s="0" t="s">
        <v>156</v>
      </c>
      <c r="R111" s="0" t="s">
        <v>170</v>
      </c>
      <c r="S111" s="0" t="n">
        <v>17</v>
      </c>
      <c r="T111" s="92" t="n">
        <v>0.418975</v>
      </c>
      <c r="U111" s="0" t="n">
        <v>2</v>
      </c>
      <c r="V111" s="0" t="s">
        <v>685</v>
      </c>
      <c r="W111" s="0" t="s">
        <v>398</v>
      </c>
      <c r="X111" s="0" t="n">
        <v>1</v>
      </c>
      <c r="Y111" s="0" t="s">
        <v>399</v>
      </c>
      <c r="Z111" s="0" t="n">
        <v>0</v>
      </c>
      <c r="AA111" s="0" t="n">
        <v>0</v>
      </c>
      <c r="AB111" s="0" t="s">
        <v>400</v>
      </c>
      <c r="AC111" s="0" t="n">
        <v>0</v>
      </c>
      <c r="AD111" s="0" t="s">
        <v>686</v>
      </c>
      <c r="AE111" s="0" t="s">
        <v>687</v>
      </c>
      <c r="AG111" s="0" t="s">
        <v>490</v>
      </c>
    </row>
    <row r="112" customFormat="false" ht="15" hidden="false" customHeight="false" outlineLevel="0" collapsed="false">
      <c r="A112" s="0" t="s">
        <v>224</v>
      </c>
      <c r="B112" s="0" t="s">
        <v>531</v>
      </c>
      <c r="C112" s="0" t="s">
        <v>680</v>
      </c>
      <c r="D112" s="0" t="s">
        <v>484</v>
      </c>
      <c r="F112" s="0" t="n">
        <v>2</v>
      </c>
      <c r="G112" s="0" t="s">
        <v>430</v>
      </c>
      <c r="H112" s="0" t="s">
        <v>168</v>
      </c>
      <c r="I112" s="0" t="s">
        <v>421</v>
      </c>
      <c r="J112" s="0" t="s">
        <v>224</v>
      </c>
      <c r="K112" s="0" t="s">
        <v>168</v>
      </c>
      <c r="L112" s="0" t="n">
        <v>1.2492</v>
      </c>
      <c r="M112" s="0" t="s">
        <v>485</v>
      </c>
      <c r="N112" s="0" t="n">
        <v>0.04</v>
      </c>
      <c r="O112" s="0" t="n">
        <v>106.182</v>
      </c>
      <c r="P112" s="0" t="n">
        <v>4.25</v>
      </c>
      <c r="Q112" s="0" t="s">
        <v>156</v>
      </c>
      <c r="R112" s="0" t="s">
        <v>170</v>
      </c>
      <c r="S112" s="0" t="n">
        <v>17</v>
      </c>
      <c r="T112" s="92" t="n">
        <v>0.245449</v>
      </c>
      <c r="U112" s="0" t="n">
        <v>2</v>
      </c>
      <c r="V112" s="0" t="s">
        <v>685</v>
      </c>
      <c r="W112" s="0" t="s">
        <v>398</v>
      </c>
      <c r="X112" s="0" t="n">
        <v>1</v>
      </c>
      <c r="Y112" s="0" t="s">
        <v>399</v>
      </c>
      <c r="Z112" s="0" t="n">
        <v>0</v>
      </c>
      <c r="AA112" s="0" t="n">
        <v>0</v>
      </c>
      <c r="AB112" s="0" t="s">
        <v>400</v>
      </c>
      <c r="AC112" s="0" t="n">
        <v>0</v>
      </c>
      <c r="AD112" s="0" t="s">
        <v>686</v>
      </c>
      <c r="AE112" s="0" t="s">
        <v>688</v>
      </c>
      <c r="AG112" s="0" t="s">
        <v>490</v>
      </c>
    </row>
    <row r="113" customFormat="false" ht="15" hidden="false" customHeight="false" outlineLevel="0" collapsed="false">
      <c r="A113" s="0" t="s">
        <v>224</v>
      </c>
      <c r="B113" s="0" t="s">
        <v>419</v>
      </c>
      <c r="C113" s="0" t="s">
        <v>680</v>
      </c>
      <c r="D113" s="0" t="s">
        <v>484</v>
      </c>
      <c r="F113" s="0" t="n">
        <v>1</v>
      </c>
      <c r="G113" s="0" t="s">
        <v>394</v>
      </c>
      <c r="H113" s="0" t="s">
        <v>153</v>
      </c>
      <c r="I113" s="0" t="s">
        <v>421</v>
      </c>
      <c r="J113" s="0" t="s">
        <v>224</v>
      </c>
      <c r="K113" s="0" t="s">
        <v>396</v>
      </c>
      <c r="L113" s="0" t="n">
        <v>1.1839</v>
      </c>
      <c r="M113" s="0" t="s">
        <v>485</v>
      </c>
      <c r="N113" s="0" t="n">
        <v>0.0325</v>
      </c>
      <c r="O113" s="0" t="n">
        <v>100.6315</v>
      </c>
      <c r="P113" s="0" t="n">
        <v>3.27</v>
      </c>
      <c r="Q113" s="0" t="s">
        <v>156</v>
      </c>
      <c r="R113" s="0" t="s">
        <v>170</v>
      </c>
      <c r="S113" s="0" t="n">
        <v>20</v>
      </c>
      <c r="T113" s="92" t="n">
        <v>0.506129</v>
      </c>
      <c r="U113" s="0" t="n">
        <v>2</v>
      </c>
      <c r="V113" s="0" t="s">
        <v>689</v>
      </c>
      <c r="W113" s="0" t="s">
        <v>398</v>
      </c>
      <c r="X113" s="0" t="n">
        <v>1</v>
      </c>
      <c r="Y113" s="0" t="s">
        <v>399</v>
      </c>
      <c r="Z113" s="0" t="n">
        <v>0</v>
      </c>
      <c r="AA113" s="0" t="n">
        <v>0</v>
      </c>
      <c r="AB113" s="0" t="s">
        <v>400</v>
      </c>
      <c r="AC113" s="0" t="n">
        <v>0</v>
      </c>
      <c r="AD113" s="0" t="s">
        <v>690</v>
      </c>
      <c r="AE113" s="0" t="s">
        <v>691</v>
      </c>
      <c r="AG113" s="0" t="s">
        <v>490</v>
      </c>
    </row>
    <row r="114" customFormat="false" ht="15" hidden="false" customHeight="false" outlineLevel="0" collapsed="false">
      <c r="A114" s="0" t="s">
        <v>224</v>
      </c>
      <c r="B114" s="0" t="s">
        <v>419</v>
      </c>
      <c r="C114" s="0" t="s">
        <v>680</v>
      </c>
      <c r="D114" s="0" t="s">
        <v>484</v>
      </c>
      <c r="F114" s="0" t="n">
        <v>2</v>
      </c>
      <c r="G114" s="0" t="s">
        <v>430</v>
      </c>
      <c r="H114" s="0" t="s">
        <v>168</v>
      </c>
      <c r="I114" s="0" t="s">
        <v>421</v>
      </c>
      <c r="J114" s="0" t="s">
        <v>224</v>
      </c>
      <c r="K114" s="0" t="s">
        <v>168</v>
      </c>
      <c r="L114" s="0" t="n">
        <v>1.2492</v>
      </c>
      <c r="M114" s="0" t="s">
        <v>485</v>
      </c>
      <c r="N114" s="0" t="n">
        <v>0.04</v>
      </c>
      <c r="O114" s="0" t="n">
        <v>106.182</v>
      </c>
      <c r="P114" s="0" t="n">
        <v>4.25</v>
      </c>
      <c r="Q114" s="0" t="s">
        <v>156</v>
      </c>
      <c r="R114" s="0" t="s">
        <v>170</v>
      </c>
      <c r="S114" s="0" t="n">
        <v>20</v>
      </c>
      <c r="T114" s="92" t="n">
        <v>0.358632</v>
      </c>
      <c r="U114" s="0" t="n">
        <v>2</v>
      </c>
      <c r="V114" s="0" t="s">
        <v>689</v>
      </c>
      <c r="W114" s="0" t="s">
        <v>398</v>
      </c>
      <c r="X114" s="0" t="n">
        <v>1</v>
      </c>
      <c r="Y114" s="0" t="s">
        <v>399</v>
      </c>
      <c r="Z114" s="0" t="n">
        <v>0</v>
      </c>
      <c r="AA114" s="0" t="n">
        <v>0</v>
      </c>
      <c r="AB114" s="0" t="s">
        <v>400</v>
      </c>
      <c r="AC114" s="0" t="n">
        <v>0</v>
      </c>
      <c r="AD114" s="0" t="s">
        <v>690</v>
      </c>
      <c r="AE114" s="0" t="s">
        <v>692</v>
      </c>
      <c r="AG114" s="0" t="s">
        <v>490</v>
      </c>
    </row>
    <row r="115" customFormat="false" ht="15" hidden="false" customHeight="false" outlineLevel="0" collapsed="false">
      <c r="A115" s="0" t="s">
        <v>508</v>
      </c>
      <c r="B115" s="0" t="s">
        <v>478</v>
      </c>
      <c r="C115" s="0" t="s">
        <v>680</v>
      </c>
      <c r="D115" s="0" t="s">
        <v>484</v>
      </c>
      <c r="E115" s="0" t="s">
        <v>509</v>
      </c>
      <c r="F115" s="0" t="n">
        <v>1</v>
      </c>
      <c r="G115" s="0" t="s">
        <v>394</v>
      </c>
      <c r="H115" s="0" t="s">
        <v>204</v>
      </c>
      <c r="I115" s="0" t="s">
        <v>510</v>
      </c>
      <c r="J115" s="0" t="s">
        <v>217</v>
      </c>
      <c r="K115" s="0" t="s">
        <v>396</v>
      </c>
      <c r="L115" s="0" t="n">
        <v>1.1839</v>
      </c>
      <c r="M115" s="0" t="s">
        <v>485</v>
      </c>
      <c r="N115" s="0" t="n">
        <v>0.03</v>
      </c>
      <c r="O115" s="0" t="n">
        <v>100.6315</v>
      </c>
      <c r="P115" s="0" t="n">
        <v>3.02</v>
      </c>
      <c r="Q115" s="0" t="s">
        <v>156</v>
      </c>
      <c r="R115" s="0" t="s">
        <v>218</v>
      </c>
      <c r="S115" s="0" t="n">
        <v>13</v>
      </c>
      <c r="T115" s="92" t="n">
        <v>0.298644</v>
      </c>
      <c r="U115" s="0">
        <v>2</v>
      </c>
      <c r="V115" s="0" t="s">
        <v>693</v>
      </c>
      <c r="W115" s="0" t="s">
        <v>398</v>
      </c>
      <c r="X115" s="0" t="n">
        <v>1</v>
      </c>
      <c r="Y115" s="0" t="s">
        <v>399</v>
      </c>
      <c r="Z115" s="0" t="n">
        <v>0</v>
      </c>
      <c r="AA115" s="0" t="n">
        <v>0</v>
      </c>
      <c r="AB115" s="0" t="s">
        <v>400</v>
      </c>
      <c r="AC115" s="0" t="n">
        <v>0</v>
      </c>
      <c r="AD115" s="0" t="s">
        <v>694</v>
      </c>
      <c r="AE115" s="0" t="s">
        <v>695</v>
      </c>
      <c r="AG115" s="0" t="s">
        <v>509</v>
      </c>
    </row>
    <row r="116" customFormat="false" ht="15" hidden="false" customHeight="false" outlineLevel="0" collapsed="false">
      <c r="A116" s="0" t="s">
        <v>508</v>
      </c>
      <c r="B116" s="0" t="s">
        <v>478</v>
      </c>
      <c r="C116" s="0" t="s">
        <v>680</v>
      </c>
      <c r="D116" s="0" t="s">
        <v>484</v>
      </c>
      <c r="E116" s="0" t="s">
        <v>514</v>
      </c>
      <c r="F116" s="0" t="n">
        <v>1</v>
      </c>
      <c r="G116" s="0" t="s">
        <v>394</v>
      </c>
      <c r="H116" s="0" t="s">
        <v>204</v>
      </c>
      <c r="I116" s="0" t="s">
        <v>510</v>
      </c>
      <c r="J116" s="0" t="s">
        <v>217</v>
      </c>
      <c r="K116" s="0" t="s">
        <v>396</v>
      </c>
      <c r="L116" s="0" t="n">
        <v>1.1839</v>
      </c>
      <c r="M116" s="0" t="s">
        <v>485</v>
      </c>
      <c r="N116" s="0" t="n">
        <v>0.03</v>
      </c>
      <c r="O116" s="0" t="n">
        <v>100.6315</v>
      </c>
      <c r="P116" s="0" t="n">
        <v>3.02</v>
      </c>
      <c r="Q116" s="0" t="s">
        <v>156</v>
      </c>
      <c r="R116" s="0" t="s">
        <v>218</v>
      </c>
      <c r="S116" s="0" t="n">
        <v>21</v>
      </c>
      <c r="T116" s="92" t="n">
        <v>0.565828</v>
      </c>
      <c r="U116" s="0">
        <v>2</v>
      </c>
      <c r="V116" s="0" t="s">
        <v>696</v>
      </c>
      <c r="W116" s="0" t="s">
        <v>398</v>
      </c>
      <c r="X116" s="0" t="n">
        <v>1</v>
      </c>
      <c r="Y116" s="0" t="s">
        <v>399</v>
      </c>
      <c r="Z116" s="0" t="n">
        <v>0</v>
      </c>
      <c r="AA116" s="0" t="n">
        <v>0</v>
      </c>
      <c r="AB116" s="0" t="s">
        <v>400</v>
      </c>
      <c r="AC116" s="0" t="n">
        <v>0</v>
      </c>
      <c r="AD116" s="0" t="s">
        <v>697</v>
      </c>
      <c r="AE116" s="0" t="s">
        <v>698</v>
      </c>
      <c r="AG116" s="0" t="s">
        <v>509</v>
      </c>
    </row>
    <row r="117" customFormat="false" ht="15" hidden="false" customHeight="false" outlineLevel="0" collapsed="false">
      <c r="A117" s="0" t="s">
        <v>508</v>
      </c>
      <c r="B117" s="0" t="s">
        <v>478</v>
      </c>
      <c r="C117" s="0" t="s">
        <v>680</v>
      </c>
      <c r="D117" s="0" t="s">
        <v>484</v>
      </c>
      <c r="E117" s="0" t="s">
        <v>518</v>
      </c>
      <c r="F117" s="0" t="n">
        <v>1</v>
      </c>
      <c r="G117" s="0" t="s">
        <v>394</v>
      </c>
      <c r="H117" s="0" t="s">
        <v>204</v>
      </c>
      <c r="I117" s="0" t="s">
        <v>510</v>
      </c>
      <c r="J117" s="0" t="s">
        <v>217</v>
      </c>
      <c r="K117" s="0" t="s">
        <v>396</v>
      </c>
      <c r="L117" s="0" t="n">
        <v>1.1839</v>
      </c>
      <c r="M117" s="0" t="s">
        <v>485</v>
      </c>
      <c r="N117" s="0" t="n">
        <v>0.03</v>
      </c>
      <c r="O117" s="0" t="n">
        <v>100.6315</v>
      </c>
      <c r="P117" s="0" t="n">
        <v>3.02</v>
      </c>
      <c r="Q117" s="0" t="s">
        <v>156</v>
      </c>
      <c r="R117" s="0" t="s">
        <v>218</v>
      </c>
      <c r="S117" s="0" t="n">
        <v>33</v>
      </c>
      <c r="T117" s="92" t="n">
        <v>0.723708</v>
      </c>
      <c r="U117" s="0">
        <v>2</v>
      </c>
      <c r="V117" s="0" t="s">
        <v>699</v>
      </c>
      <c r="W117" s="0" t="s">
        <v>398</v>
      </c>
      <c r="X117" s="0" t="n">
        <v>1</v>
      </c>
      <c r="Y117" s="0" t="s">
        <v>399</v>
      </c>
      <c r="Z117" s="0" t="n">
        <v>0</v>
      </c>
      <c r="AA117" s="0" t="n">
        <v>0</v>
      </c>
      <c r="AB117" s="0" t="s">
        <v>400</v>
      </c>
      <c r="AC117" s="0" t="n">
        <v>0</v>
      </c>
      <c r="AD117" s="0" t="s">
        <v>700</v>
      </c>
      <c r="AE117" s="0" t="s">
        <v>701</v>
      </c>
      <c r="AG117" s="0" t="s">
        <v>509</v>
      </c>
    </row>
    <row r="118" customFormat="false" ht="15" hidden="false" customHeight="false" outlineLevel="0" collapsed="false">
      <c r="A118" s="0" t="s">
        <v>205</v>
      </c>
      <c r="B118" s="0" t="s">
        <v>478</v>
      </c>
      <c r="C118" s="0" t="s">
        <v>680</v>
      </c>
      <c r="D118" s="0" t="s">
        <v>484</v>
      </c>
      <c r="F118" s="0" t="n">
        <v>1</v>
      </c>
      <c r="G118" s="0" t="s">
        <v>394</v>
      </c>
      <c r="H118" s="0" t="s">
        <v>204</v>
      </c>
      <c r="I118" s="0" t="s">
        <v>395</v>
      </c>
      <c r="J118" s="0" t="s">
        <v>205</v>
      </c>
      <c r="K118" s="0" t="s">
        <v>396</v>
      </c>
      <c r="L118" s="0" t="n">
        <v>1.1839</v>
      </c>
      <c r="M118" s="0" t="s">
        <v>485</v>
      </c>
      <c r="N118" s="0" t="n">
        <v>0.02</v>
      </c>
      <c r="O118" s="0" t="n">
        <v>100.6315</v>
      </c>
      <c r="P118" s="0" t="n">
        <v>2.01</v>
      </c>
      <c r="Q118" s="0" t="s">
        <v>156</v>
      </c>
      <c r="R118" s="0" t="inlineStr">
        <is>
          <t xml:space="preserve">HIGH; Kie reserve costed 2026-08-14 — LaoZhang remains primary; no longer single-leg.</t>
        </is>
      </c>
      <c r="S118" s="0" t="n">
        <v>9</v>
      </c>
      <c r="T118" s="92" t="n">
        <v>0.324621</v>
      </c>
      <c r="U118" s="0">
        <v>2</v>
      </c>
      <c r="V118" s="0" t="s">
        <v>702</v>
      </c>
      <c r="W118" s="0" t="s">
        <v>398</v>
      </c>
      <c r="X118" s="0" t="n">
        <v>1</v>
      </c>
      <c r="Y118" s="0" t="s">
        <v>399</v>
      </c>
      <c r="Z118" s="0" t="n">
        <v>0</v>
      </c>
      <c r="AA118" s="0" t="n">
        <v>0</v>
      </c>
      <c r="AB118" s="0" t="s">
        <v>400</v>
      </c>
      <c r="AC118" s="0" t="n">
        <v>0</v>
      </c>
      <c r="AD118" s="0" t="s">
        <v>703</v>
      </c>
      <c r="AE118" s="0" t="s">
        <v>704</v>
      </c>
      <c r="AG118" s="0" t="s">
        <v>478</v>
      </c>
    </row>
    <row r="119" customFormat="false" ht="15" hidden="false" customHeight="false" outlineLevel="0" collapsed="false">
      <c r="A119" s="0" t="s">
        <v>489</v>
      </c>
      <c r="B119" s="0" t="s">
        <v>490</v>
      </c>
      <c r="C119" s="0" t="s">
        <v>680</v>
      </c>
      <c r="D119" s="0" t="s">
        <v>484</v>
      </c>
      <c r="F119" s="0" t="n">
        <v>1</v>
      </c>
      <c r="G119" s="0" t="s">
        <v>394</v>
      </c>
      <c r="H119" s="0" t="s">
        <v>153</v>
      </c>
      <c r="I119" s="0" t="s">
        <v>395</v>
      </c>
      <c r="J119" s="0" t="s">
        <v>209</v>
      </c>
      <c r="K119" s="0" t="s">
        <v>396</v>
      </c>
      <c r="L119" s="0" t="n">
        <v>1.1839</v>
      </c>
      <c r="M119" s="0" t="s">
        <v>485</v>
      </c>
      <c r="N119" s="0" t="n">
        <v>0.04</v>
      </c>
      <c r="O119" s="0" t="n">
        <v>100.6315</v>
      </c>
      <c r="P119" s="0" t="n">
        <v>4.03</v>
      </c>
      <c r="Q119" s="0" t="s">
        <v>156</v>
      </c>
      <c r="R119" s="0" t="s">
        <v>170</v>
      </c>
      <c r="S119" s="0" t="n">
        <v>17</v>
      </c>
      <c r="T119" s="92" t="n">
        <v>0.284892</v>
      </c>
      <c r="U119" s="0" t="n">
        <v>2</v>
      </c>
      <c r="V119" s="0" t="s">
        <v>705</v>
      </c>
      <c r="W119" s="0" t="s">
        <v>398</v>
      </c>
      <c r="X119" s="0" t="n">
        <v>1</v>
      </c>
      <c r="Y119" s="0" t="s">
        <v>399</v>
      </c>
      <c r="Z119" s="0" t="n">
        <v>0</v>
      </c>
      <c r="AA119" s="0" t="n">
        <v>0</v>
      </c>
      <c r="AB119" s="0" t="s">
        <v>400</v>
      </c>
      <c r="AC119" s="0" t="n">
        <v>0</v>
      </c>
      <c r="AD119" s="0" t="s">
        <v>706</v>
      </c>
      <c r="AE119" s="0" t="s">
        <v>707</v>
      </c>
      <c r="AG119" s="0" t="s">
        <v>490</v>
      </c>
    </row>
    <row r="120" customFormat="false" ht="15" hidden="false" customHeight="false" outlineLevel="0" collapsed="false">
      <c r="A120" s="0" t="s">
        <v>489</v>
      </c>
      <c r="B120" s="0" t="s">
        <v>490</v>
      </c>
      <c r="C120" s="0" t="s">
        <v>680</v>
      </c>
      <c r="D120" s="0" t="s">
        <v>484</v>
      </c>
      <c r="F120" s="0" t="n">
        <v>2</v>
      </c>
      <c r="G120" s="0" t="s">
        <v>430</v>
      </c>
      <c r="H120" s="0" t="s">
        <v>204</v>
      </c>
      <c r="I120" s="0" t="s">
        <v>395</v>
      </c>
      <c r="J120" s="0" t="s">
        <v>209</v>
      </c>
      <c r="K120" s="0" t="s">
        <v>396</v>
      </c>
      <c r="L120" s="0" t="n">
        <v>1.1839</v>
      </c>
      <c r="M120" s="0" t="s">
        <v>485</v>
      </c>
      <c r="N120" s="0" t="n">
        <v>0.055</v>
      </c>
      <c r="O120" s="0" t="n">
        <v>100.6315</v>
      </c>
      <c r="P120" s="0" t="n">
        <v>5.53</v>
      </c>
      <c r="Q120" s="0" t="s">
        <v>156</v>
      </c>
      <c r="R120" s="0" t="s">
        <v>170</v>
      </c>
      <c r="S120" s="0" t="n">
        <v>17</v>
      </c>
      <c r="T120" s="92" t="n">
        <v>0.016727</v>
      </c>
      <c r="U120" s="0" t="n">
        <v>2</v>
      </c>
      <c r="V120" s="0" t="s">
        <v>705</v>
      </c>
      <c r="W120" s="0" t="s">
        <v>398</v>
      </c>
      <c r="X120" s="0" t="n">
        <v>1</v>
      </c>
      <c r="Y120" s="0" t="s">
        <v>399</v>
      </c>
      <c r="Z120" s="0" t="n">
        <v>0</v>
      </c>
      <c r="AA120" s="0" t="n">
        <v>0</v>
      </c>
      <c r="AB120" s="0" t="s">
        <v>400</v>
      </c>
      <c r="AC120" s="0" t="n">
        <v>0</v>
      </c>
      <c r="AD120" s="0" t="s">
        <v>706</v>
      </c>
      <c r="AE120" s="0" t="s">
        <v>708</v>
      </c>
      <c r="AG120" s="0" t="s">
        <v>490</v>
      </c>
    </row>
    <row r="121" customFormat="false" ht="15" hidden="false" customHeight="false" outlineLevel="0" collapsed="false">
      <c r="A121" s="0" t="s">
        <v>495</v>
      </c>
      <c r="B121" s="0" t="s">
        <v>478</v>
      </c>
      <c r="C121" s="0" t="s">
        <v>680</v>
      </c>
      <c r="D121" s="0" t="s">
        <v>484</v>
      </c>
      <c r="F121" s="0" t="n">
        <v>1</v>
      </c>
      <c r="G121" s="0" t="s">
        <v>394</v>
      </c>
      <c r="H121" s="0" t="s">
        <v>153</v>
      </c>
      <c r="I121" s="0" t="s">
        <v>395</v>
      </c>
      <c r="J121" s="0" t="s">
        <v>210</v>
      </c>
      <c r="K121" s="0" t="s">
        <v>396</v>
      </c>
      <c r="L121" s="0" t="n">
        <v>1.1839</v>
      </c>
      <c r="M121" s="0" t="s">
        <v>485</v>
      </c>
      <c r="N121" s="0" t="n">
        <v>0.02</v>
      </c>
      <c r="O121" s="0" t="n">
        <v>100.6315</v>
      </c>
      <c r="P121" s="0" t="n">
        <v>2.01</v>
      </c>
      <c r="Q121" s="0" t="s">
        <v>156</v>
      </c>
      <c r="R121" s="0" t="s">
        <v>170</v>
      </c>
      <c r="S121" s="0" t="n">
        <v>9</v>
      </c>
      <c r="T121" s="92" t="n">
        <v>0.324621</v>
      </c>
      <c r="U121" s="0" t="n">
        <v>2</v>
      </c>
      <c r="V121" s="0" t="s">
        <v>709</v>
      </c>
      <c r="W121" s="0" t="s">
        <v>398</v>
      </c>
      <c r="X121" s="0" t="n">
        <v>1</v>
      </c>
      <c r="Y121" s="0" t="s">
        <v>399</v>
      </c>
      <c r="Z121" s="0" t="n">
        <v>0</v>
      </c>
      <c r="AA121" s="0" t="n">
        <v>0</v>
      </c>
      <c r="AB121" s="0" t="s">
        <v>400</v>
      </c>
      <c r="AC121" s="0" t="n">
        <v>0</v>
      </c>
      <c r="AD121" s="0" t="s">
        <v>710</v>
      </c>
      <c r="AE121" s="0" t="s">
        <v>711</v>
      </c>
      <c r="AG121" s="0" t="s">
        <v>478</v>
      </c>
    </row>
    <row r="122" customFormat="false" ht="15" hidden="false" customHeight="false" outlineLevel="0" collapsed="false">
      <c r="A122" s="0" t="s">
        <v>495</v>
      </c>
      <c r="B122" s="0" t="s">
        <v>478</v>
      </c>
      <c r="C122" s="0" t="s">
        <v>680</v>
      </c>
      <c r="D122" s="0" t="s">
        <v>484</v>
      </c>
      <c r="F122" s="0" t="n">
        <v>2</v>
      </c>
      <c r="G122" s="0" t="s">
        <v>430</v>
      </c>
      <c r="H122" s="0" t="s">
        <v>204</v>
      </c>
      <c r="I122" s="0" t="s">
        <v>395</v>
      </c>
      <c r="J122" s="0" t="s">
        <v>210</v>
      </c>
      <c r="K122" s="0" t="s">
        <v>396</v>
      </c>
      <c r="L122" s="0" t="n">
        <v>1.1839</v>
      </c>
      <c r="M122" s="0" t="s">
        <v>485</v>
      </c>
      <c r="N122" s="0" t="n">
        <v>0.025</v>
      </c>
      <c r="O122" s="0" t="n">
        <v>100.6315</v>
      </c>
      <c r="P122" s="0" t="n">
        <v>2.52</v>
      </c>
      <c r="Q122" s="0" t="s">
        <v>156</v>
      </c>
      <c r="R122" s="0" t="s">
        <v>170</v>
      </c>
      <c r="S122" s="0" t="n">
        <v>9</v>
      </c>
      <c r="T122" s="92" t="n">
        <v>0.155776</v>
      </c>
      <c r="U122" s="0" t="n">
        <v>2</v>
      </c>
      <c r="V122" s="0" t="s">
        <v>709</v>
      </c>
      <c r="W122" s="0" t="s">
        <v>398</v>
      </c>
      <c r="X122" s="0" t="n">
        <v>1</v>
      </c>
      <c r="Y122" s="0" t="s">
        <v>399</v>
      </c>
      <c r="Z122" s="0" t="n">
        <v>0</v>
      </c>
      <c r="AA122" s="0" t="n">
        <v>0</v>
      </c>
      <c r="AB122" s="0" t="s">
        <v>400</v>
      </c>
      <c r="AC122" s="0" t="n">
        <v>0</v>
      </c>
      <c r="AD122" s="0" t="s">
        <v>710</v>
      </c>
      <c r="AE122" s="0" t="s">
        <v>712</v>
      </c>
      <c r="AG122" s="0" t="s">
        <v>478</v>
      </c>
    </row>
    <row r="123" customFormat="false" ht="15" hidden="false" customHeight="false" outlineLevel="0" collapsed="false">
      <c r="A123" s="0" t="s">
        <v>500</v>
      </c>
      <c r="B123" s="0" t="s">
        <v>490</v>
      </c>
      <c r="C123" s="0" t="s">
        <v>680</v>
      </c>
      <c r="D123" s="0" t="s">
        <v>484</v>
      </c>
      <c r="F123" s="0" t="n">
        <v>1</v>
      </c>
      <c r="G123" s="0" t="s">
        <v>394</v>
      </c>
      <c r="H123" s="0" t="s">
        <v>204</v>
      </c>
      <c r="I123" s="0" t="s">
        <v>395</v>
      </c>
      <c r="J123" s="0" t="s">
        <v>212</v>
      </c>
      <c r="K123" s="0" t="s">
        <v>396</v>
      </c>
      <c r="L123" s="0" t="n">
        <v>1.1839</v>
      </c>
      <c r="M123" s="0" t="s">
        <v>485</v>
      </c>
      <c r="N123" s="0" t="n">
        <v>0.09</v>
      </c>
      <c r="O123" s="0" t="n">
        <v>100.6315</v>
      </c>
      <c r="P123" s="0" t="n">
        <v>9.06</v>
      </c>
      <c r="Q123" s="0" t="s">
        <v>156</v>
      </c>
      <c r="R123" s="0" t="s">
        <v>206</v>
      </c>
      <c r="S123" s="0" t="n">
        <v>37</v>
      </c>
      <c r="T123" s="92" t="n">
        <v>0.260733</v>
      </c>
      <c r="U123" s="0" t="n">
        <v>1</v>
      </c>
      <c r="V123" s="0" t="s">
        <v>713</v>
      </c>
      <c r="W123" s="0" t="s">
        <v>398</v>
      </c>
      <c r="X123" s="0" t="n">
        <v>1</v>
      </c>
      <c r="Y123" s="0" t="s">
        <v>399</v>
      </c>
      <c r="Z123" s="0" t="n">
        <v>0</v>
      </c>
      <c r="AA123" s="0" t="n">
        <v>0</v>
      </c>
      <c r="AB123" s="0" t="s">
        <v>400</v>
      </c>
      <c r="AC123" s="0" t="n">
        <v>0</v>
      </c>
      <c r="AD123" s="0" t="s">
        <v>714</v>
      </c>
      <c r="AE123" s="0" t="s">
        <v>715</v>
      </c>
      <c r="AG123" s="0" t="s">
        <v>490</v>
      </c>
    </row>
    <row r="124" customFormat="false" ht="15" hidden="false" customHeight="false" outlineLevel="0" collapsed="false">
      <c r="A124" s="0" t="s">
        <v>165</v>
      </c>
      <c r="B124" s="0" t="s">
        <v>426</v>
      </c>
      <c r="C124" s="0" t="s">
        <v>577</v>
      </c>
      <c r="D124" s="0" t="s">
        <v>420</v>
      </c>
      <c r="F124" s="0" t="n">
        <v>1</v>
      </c>
      <c r="G124" s="0" t="s">
        <v>394</v>
      </c>
      <c r="H124" s="0" t="s">
        <v>168</v>
      </c>
      <c r="I124" s="0" t="s">
        <v>421</v>
      </c>
      <c r="J124" s="0" t="s">
        <v>165</v>
      </c>
      <c r="K124" s="0" t="s">
        <v>168</v>
      </c>
      <c r="L124" s="0" t="n">
        <v>1.2492</v>
      </c>
      <c r="M124" s="0" t="s">
        <v>422</v>
      </c>
      <c r="N124" s="0" t="n">
        <v>0.067</v>
      </c>
      <c r="O124" s="0" t="n">
        <v>106.182</v>
      </c>
      <c r="P124" s="0" t="n">
        <v>35.57</v>
      </c>
      <c r="Q124" s="0" t="s">
        <v>156</v>
      </c>
      <c r="R124" s="0" t="s">
        <v>170</v>
      </c>
      <c r="S124" s="0" t="n">
        <v>145</v>
      </c>
      <c r="T124" s="92" t="n">
        <v>0.259109</v>
      </c>
      <c r="U124" s="0" t="n">
        <v>2</v>
      </c>
      <c r="V124" s="0" t="s">
        <v>716</v>
      </c>
      <c r="W124" s="0" t="s">
        <v>398</v>
      </c>
      <c r="X124" s="0" t="n">
        <v>5</v>
      </c>
      <c r="Y124" s="0" t="s">
        <v>399</v>
      </c>
      <c r="Z124" s="0" t="n">
        <v>0</v>
      </c>
      <c r="AA124" s="0" t="n">
        <v>0</v>
      </c>
      <c r="AB124" s="0" t="s">
        <v>400</v>
      </c>
      <c r="AC124" s="0" t="n">
        <v>0</v>
      </c>
      <c r="AD124" s="0" t="s">
        <v>717</v>
      </c>
      <c r="AE124" s="0" t="s">
        <v>718</v>
      </c>
      <c r="AG124" s="0" t="s">
        <v>426</v>
      </c>
    </row>
    <row r="125" customFormat="false" ht="15" hidden="false" customHeight="false" outlineLevel="0" collapsed="false">
      <c r="A125" s="0" t="s">
        <v>165</v>
      </c>
      <c r="B125" s="0" t="s">
        <v>426</v>
      </c>
      <c r="C125" s="0" t="s">
        <v>577</v>
      </c>
      <c r="D125" s="0" t="s">
        <v>420</v>
      </c>
      <c r="F125" s="0" t="n">
        <v>2</v>
      </c>
      <c r="G125" s="0" t="s">
        <v>430</v>
      </c>
      <c r="H125" s="0" t="s">
        <v>153</v>
      </c>
      <c r="I125" s="0" t="s">
        <v>421</v>
      </c>
      <c r="J125" s="0" t="s">
        <v>165</v>
      </c>
      <c r="K125" s="0" t="s">
        <v>396</v>
      </c>
      <c r="L125" s="0" t="n">
        <v>1.1839</v>
      </c>
      <c r="M125" s="0" t="s">
        <v>422</v>
      </c>
      <c r="N125" s="0" t="n">
        <v>0.095</v>
      </c>
      <c r="O125" s="0" t="n">
        <v>100.6315</v>
      </c>
      <c r="P125" s="0" t="n">
        <v>47.8</v>
      </c>
      <c r="Q125" s="0" t="s">
        <v>156</v>
      </c>
      <c r="R125" s="0" t="s">
        <v>170</v>
      </c>
      <c r="S125" s="0" t="n">
        <v>145</v>
      </c>
      <c r="T125" s="92" t="n">
        <v>0.004398</v>
      </c>
      <c r="U125" s="0" t="n">
        <v>2</v>
      </c>
      <c r="V125" s="0" t="s">
        <v>716</v>
      </c>
      <c r="W125" s="0" t="s">
        <v>398</v>
      </c>
      <c r="X125" s="0" t="n">
        <v>5</v>
      </c>
      <c r="Y125" s="0" t="s">
        <v>399</v>
      </c>
      <c r="Z125" s="0" t="n">
        <v>0</v>
      </c>
      <c r="AA125" s="0" t="n">
        <v>0</v>
      </c>
      <c r="AB125" s="0" t="s">
        <v>400</v>
      </c>
      <c r="AC125" s="0" t="n">
        <v>0</v>
      </c>
      <c r="AD125" s="0" t="s">
        <v>717</v>
      </c>
      <c r="AE125" s="0" t="s">
        <v>719</v>
      </c>
      <c r="AG125" s="0" t="s">
        <v>426</v>
      </c>
    </row>
    <row r="126" customFormat="false" ht="15" hidden="false" customHeight="false" outlineLevel="0" collapsed="false">
      <c r="A126" s="0" t="s">
        <v>165</v>
      </c>
      <c r="B126" s="0" t="s">
        <v>392</v>
      </c>
      <c r="C126" s="0" t="s">
        <v>577</v>
      </c>
      <c r="D126" s="0" t="s">
        <v>420</v>
      </c>
      <c r="F126" s="0" t="n">
        <v>1</v>
      </c>
      <c r="G126" s="0" t="s">
        <v>394</v>
      </c>
      <c r="H126" s="0" t="s">
        <v>168</v>
      </c>
      <c r="I126" s="0" t="s">
        <v>421</v>
      </c>
      <c r="J126" s="0" t="s">
        <v>165</v>
      </c>
      <c r="K126" s="0" t="s">
        <v>168</v>
      </c>
      <c r="L126" s="0" t="n">
        <v>1.2492</v>
      </c>
      <c r="M126" s="0" t="s">
        <v>422</v>
      </c>
      <c r="N126" s="0" t="n">
        <v>0.151</v>
      </c>
      <c r="O126" s="0" t="n">
        <v>106.182</v>
      </c>
      <c r="P126" s="0" t="n">
        <v>80.17</v>
      </c>
      <c r="Q126" s="0" t="s">
        <v>156</v>
      </c>
      <c r="R126" s="0" t="s">
        <v>170</v>
      </c>
      <c r="S126" s="0" t="n">
        <v>323</v>
      </c>
      <c r="T126" s="92" t="n">
        <v>0.250414</v>
      </c>
      <c r="U126" s="0" t="n">
        <v>2</v>
      </c>
      <c r="V126" s="0" t="s">
        <v>720</v>
      </c>
      <c r="W126" s="0" t="s">
        <v>398</v>
      </c>
      <c r="X126" s="0" t="n">
        <v>5</v>
      </c>
      <c r="Y126" s="0" t="s">
        <v>399</v>
      </c>
      <c r="Z126" s="0" t="n">
        <v>0</v>
      </c>
      <c r="AA126" s="0" t="n">
        <v>0</v>
      </c>
      <c r="AB126" s="0" t="s">
        <v>400</v>
      </c>
      <c r="AC126" s="0" t="n">
        <v>0</v>
      </c>
      <c r="AD126" s="0" t="s">
        <v>721</v>
      </c>
      <c r="AE126" s="0" t="s">
        <v>722</v>
      </c>
      <c r="AG126" s="0" t="s">
        <v>426</v>
      </c>
    </row>
    <row r="127" customFormat="false" ht="15" hidden="false" customHeight="false" outlineLevel="0" collapsed="false">
      <c r="A127" s="0" t="s">
        <v>165</v>
      </c>
      <c r="B127" s="0" t="s">
        <v>392</v>
      </c>
      <c r="C127" s="0" t="s">
        <v>577</v>
      </c>
      <c r="D127" s="0" t="s">
        <v>420</v>
      </c>
      <c r="F127" s="0" t="n">
        <v>2</v>
      </c>
      <c r="G127" s="0" t="s">
        <v>430</v>
      </c>
      <c r="H127" s="0" t="s">
        <v>153</v>
      </c>
      <c r="I127" s="0" t="s">
        <v>421</v>
      </c>
      <c r="J127" s="0" t="s">
        <v>165</v>
      </c>
      <c r="K127" s="0" t="s">
        <v>396</v>
      </c>
      <c r="L127" s="0" t="n">
        <v>1.1839</v>
      </c>
      <c r="M127" s="0" t="s">
        <v>422</v>
      </c>
      <c r="N127" s="0" t="n">
        <v>0.205</v>
      </c>
      <c r="O127" s="0" t="n">
        <v>100.6315</v>
      </c>
      <c r="P127" s="0" t="n">
        <v>103.15</v>
      </c>
      <c r="Q127" s="0" t="s">
        <v>156</v>
      </c>
      <c r="R127" s="0" t="s">
        <v>170</v>
      </c>
      <c r="S127" s="0" t="n">
        <v>323</v>
      </c>
      <c r="T127" s="92" t="n">
        <v>0.035546</v>
      </c>
      <c r="U127" s="0" t="n">
        <v>2</v>
      </c>
      <c r="V127" s="0" t="s">
        <v>720</v>
      </c>
      <c r="W127" s="0" t="s">
        <v>398</v>
      </c>
      <c r="X127" s="0" t="n">
        <v>5</v>
      </c>
      <c r="Y127" s="0" t="s">
        <v>399</v>
      </c>
      <c r="Z127" s="0" t="n">
        <v>0</v>
      </c>
      <c r="AA127" s="0" t="n">
        <v>0</v>
      </c>
      <c r="AB127" s="0" t="s">
        <v>400</v>
      </c>
      <c r="AC127" s="0" t="n">
        <v>0</v>
      </c>
      <c r="AD127" s="0" t="s">
        <v>721</v>
      </c>
      <c r="AE127" s="0" t="s">
        <v>723</v>
      </c>
      <c r="AG127" s="0" t="s">
        <v>426</v>
      </c>
    </row>
    <row r="128" customFormat="false" ht="15" hidden="false" customHeight="false" outlineLevel="0" collapsed="false">
      <c r="A128" s="0" t="s">
        <v>165</v>
      </c>
      <c r="B128" s="0" t="s">
        <v>403</v>
      </c>
      <c r="C128" s="0" t="s">
        <v>577</v>
      </c>
      <c r="D128" s="0" t="s">
        <v>420</v>
      </c>
      <c r="F128" s="0" t="n">
        <v>1</v>
      </c>
      <c r="G128" s="0" t="s">
        <v>394</v>
      </c>
      <c r="H128" s="0" t="s">
        <v>168</v>
      </c>
      <c r="I128" s="0" t="s">
        <v>421</v>
      </c>
      <c r="J128" s="0" t="s">
        <v>165</v>
      </c>
      <c r="K128" s="0" t="s">
        <v>168</v>
      </c>
      <c r="L128" s="0" t="n">
        <v>1.2492</v>
      </c>
      <c r="M128" s="0" t="s">
        <v>422</v>
      </c>
      <c r="N128" s="0" t="n">
        <v>0.34</v>
      </c>
      <c r="O128" s="0" t="n">
        <v>106.182</v>
      </c>
      <c r="P128" s="0" t="n">
        <v>180.51</v>
      </c>
      <c r="Q128" s="0" t="s">
        <v>156</v>
      </c>
      <c r="R128" s="0" t="s">
        <v>170</v>
      </c>
      <c r="S128" s="0" t="n">
        <v>775</v>
      </c>
      <c r="T128" s="92" t="n">
        <v>0.296564</v>
      </c>
      <c r="U128" s="0" t="n">
        <v>2</v>
      </c>
      <c r="V128" s="0" t="s">
        <v>724</v>
      </c>
      <c r="W128" s="0" t="s">
        <v>398</v>
      </c>
      <c r="X128" s="0" t="n">
        <v>5</v>
      </c>
      <c r="Y128" s="0" t="s">
        <v>399</v>
      </c>
      <c r="Z128" s="0" t="n">
        <v>0</v>
      </c>
      <c r="AA128" s="0" t="n">
        <v>0</v>
      </c>
      <c r="AB128" s="0" t="s">
        <v>400</v>
      </c>
      <c r="AC128" s="0" t="n">
        <v>0</v>
      </c>
      <c r="AD128" s="0" t="s">
        <v>725</v>
      </c>
      <c r="AE128" s="0" t="s">
        <v>726</v>
      </c>
      <c r="AG128" s="0" t="s">
        <v>426</v>
      </c>
    </row>
    <row r="129" customFormat="false" ht="15" hidden="false" customHeight="false" outlineLevel="0" collapsed="false">
      <c r="A129" s="0" t="s">
        <v>165</v>
      </c>
      <c r="B129" s="0" t="s">
        <v>403</v>
      </c>
      <c r="C129" s="0" t="s">
        <v>577</v>
      </c>
      <c r="D129" s="0" t="s">
        <v>420</v>
      </c>
      <c r="F129" s="0" t="n">
        <v>2</v>
      </c>
      <c r="G129" s="0" t="s">
        <v>430</v>
      </c>
      <c r="H129" s="0" t="s">
        <v>153</v>
      </c>
      <c r="I129" s="0" t="s">
        <v>421</v>
      </c>
      <c r="J129" s="0" t="s">
        <v>165</v>
      </c>
      <c r="K129" s="0" t="s">
        <v>396</v>
      </c>
      <c r="L129" s="0" t="n">
        <v>1.1839</v>
      </c>
      <c r="M129" s="0" t="s">
        <v>422</v>
      </c>
      <c r="N129" s="0" t="n">
        <v>0.51</v>
      </c>
      <c r="O129" s="0" t="n">
        <v>100.6315</v>
      </c>
      <c r="P129" s="0" t="n">
        <v>256.61</v>
      </c>
      <c r="Q129" s="0" t="s">
        <v>156</v>
      </c>
      <c r="R129" s="0" t="s">
        <v>170</v>
      </c>
      <c r="S129" s="0" t="n">
        <v>775</v>
      </c>
      <c r="T129" s="92" t="n">
        <v>3E-006</v>
      </c>
      <c r="U129" s="0" t="n">
        <v>2</v>
      </c>
      <c r="V129" s="0" t="s">
        <v>724</v>
      </c>
      <c r="W129" s="0" t="s">
        <v>398</v>
      </c>
      <c r="X129" s="0" t="n">
        <v>5</v>
      </c>
      <c r="Y129" s="0" t="s">
        <v>399</v>
      </c>
      <c r="Z129" s="0" t="n">
        <v>0</v>
      </c>
      <c r="AA129" s="0" t="n">
        <v>0</v>
      </c>
      <c r="AB129" s="0" t="s">
        <v>400</v>
      </c>
      <c r="AC129" s="0" t="n">
        <v>0</v>
      </c>
      <c r="AD129" s="0" t="s">
        <v>725</v>
      </c>
      <c r="AE129" s="0" t="s">
        <v>727</v>
      </c>
      <c r="AG129" s="0" t="s">
        <v>426</v>
      </c>
    </row>
    <row r="130" customFormat="false" ht="15" hidden="false" customHeight="false" outlineLevel="0" collapsed="false">
      <c r="A130" s="0" t="s">
        <v>440</v>
      </c>
      <c r="B130" s="0" t="s">
        <v>426</v>
      </c>
      <c r="C130" s="0" t="s">
        <v>577</v>
      </c>
      <c r="D130" s="0" t="s">
        <v>420</v>
      </c>
      <c r="F130" s="0" t="n">
        <v>1</v>
      </c>
      <c r="G130" s="0" t="s">
        <v>394</v>
      </c>
      <c r="H130" s="0" t="s">
        <v>168</v>
      </c>
      <c r="I130" s="0" t="s">
        <v>421</v>
      </c>
      <c r="J130" s="0" t="s">
        <v>165</v>
      </c>
      <c r="K130" s="0" t="s">
        <v>168</v>
      </c>
      <c r="L130" s="0" t="n">
        <v>1.2492</v>
      </c>
      <c r="M130" s="0" t="s">
        <v>422</v>
      </c>
      <c r="N130" s="0" t="n">
        <v>0.0538</v>
      </c>
      <c r="O130" s="0" t="n">
        <v>106.182</v>
      </c>
      <c r="P130" s="0" t="n">
        <v>28.56</v>
      </c>
      <c r="Q130" s="0" t="s">
        <v>156</v>
      </c>
      <c r="R130" s="0" t="s">
        <v>170</v>
      </c>
      <c r="S130" s="0" t="n">
        <v>118</v>
      </c>
      <c r="T130" s="92" t="n">
        <v>0.268949</v>
      </c>
      <c r="U130" s="0" t="n">
        <v>2</v>
      </c>
      <c r="V130" s="0" t="s">
        <v>728</v>
      </c>
      <c r="W130" s="0" t="s">
        <v>398</v>
      </c>
      <c r="X130" s="0" t="n">
        <v>5</v>
      </c>
      <c r="Y130" s="0" t="s">
        <v>399</v>
      </c>
      <c r="Z130" s="0" t="n">
        <v>0</v>
      </c>
      <c r="AA130" s="0" t="n">
        <v>0</v>
      </c>
      <c r="AB130" s="0" t="s">
        <v>400</v>
      </c>
      <c r="AC130" s="0" t="n">
        <v>0</v>
      </c>
      <c r="AD130" s="0" t="s">
        <v>729</v>
      </c>
      <c r="AE130" s="0" t="s">
        <v>730</v>
      </c>
      <c r="AG130" s="0" t="s">
        <v>426</v>
      </c>
    </row>
    <row r="131" customFormat="false" ht="15" hidden="false" customHeight="false" outlineLevel="0" collapsed="false">
      <c r="A131" s="0" t="s">
        <v>440</v>
      </c>
      <c r="B131" s="0" t="s">
        <v>426</v>
      </c>
      <c r="C131" s="0" t="s">
        <v>577</v>
      </c>
      <c r="D131" s="0" t="s">
        <v>420</v>
      </c>
      <c r="F131" s="0" t="n">
        <v>2</v>
      </c>
      <c r="G131" s="0" t="s">
        <v>430</v>
      </c>
      <c r="H131" s="0" t="s">
        <v>153</v>
      </c>
      <c r="I131" s="0" t="s">
        <v>421</v>
      </c>
      <c r="J131" s="0" t="s">
        <v>165</v>
      </c>
      <c r="K131" s="0" t="s">
        <v>396</v>
      </c>
      <c r="L131" s="0" t="n">
        <v>1.1839</v>
      </c>
      <c r="M131" s="0" t="s">
        <v>422</v>
      </c>
      <c r="N131" s="0" t="n">
        <v>0.0775</v>
      </c>
      <c r="O131" s="0" t="n">
        <v>100.6315</v>
      </c>
      <c r="P131" s="0" t="n">
        <v>38.99</v>
      </c>
      <c r="Q131" s="0" t="s">
        <v>156</v>
      </c>
      <c r="R131" s="0" t="s">
        <v>170</v>
      </c>
      <c r="S131" s="0" t="n">
        <v>118</v>
      </c>
      <c r="T131" s="92" t="n">
        <v>0.001955</v>
      </c>
      <c r="U131" s="0" t="n">
        <v>2</v>
      </c>
      <c r="V131" s="0" t="s">
        <v>728</v>
      </c>
      <c r="W131" s="0" t="s">
        <v>398</v>
      </c>
      <c r="X131" s="0" t="n">
        <v>5</v>
      </c>
      <c r="Y131" s="0" t="s">
        <v>399</v>
      </c>
      <c r="Z131" s="0" t="n">
        <v>0</v>
      </c>
      <c r="AA131" s="0" t="n">
        <v>0</v>
      </c>
      <c r="AB131" s="0" t="s">
        <v>400</v>
      </c>
      <c r="AC131" s="0" t="n">
        <v>0</v>
      </c>
      <c r="AD131" s="0" t="s">
        <v>729</v>
      </c>
      <c r="AE131" s="0" t="s">
        <v>731</v>
      </c>
      <c r="AG131" s="0" t="s">
        <v>426</v>
      </c>
    </row>
    <row r="132" customFormat="false" ht="15" hidden="false" customHeight="false" outlineLevel="0" collapsed="false">
      <c r="A132" s="0" t="s">
        <v>440</v>
      </c>
      <c r="B132" s="0" t="s">
        <v>392</v>
      </c>
      <c r="C132" s="0" t="s">
        <v>577</v>
      </c>
      <c r="D132" s="0" t="s">
        <v>420</v>
      </c>
      <c r="F132" s="0" t="n">
        <v>1</v>
      </c>
      <c r="G132" s="0" t="s">
        <v>394</v>
      </c>
      <c r="H132" s="0" t="s">
        <v>168</v>
      </c>
      <c r="I132" s="0" t="s">
        <v>421</v>
      </c>
      <c r="J132" s="0" t="s">
        <v>165</v>
      </c>
      <c r="K132" s="0" t="s">
        <v>168</v>
      </c>
      <c r="L132" s="0" t="n">
        <v>1.2492</v>
      </c>
      <c r="M132" s="0" t="s">
        <v>422</v>
      </c>
      <c r="N132" s="0" t="n">
        <v>0.121</v>
      </c>
      <c r="O132" s="0" t="n">
        <v>106.182</v>
      </c>
      <c r="P132" s="0" t="n">
        <v>64.24</v>
      </c>
      <c r="Q132" s="0" t="s">
        <v>156</v>
      </c>
      <c r="R132" s="0" t="s">
        <v>170</v>
      </c>
      <c r="S132" s="0" t="n">
        <v>259</v>
      </c>
      <c r="T132" s="92" t="n">
        <v>0.250912</v>
      </c>
      <c r="U132" s="0" t="n">
        <v>2</v>
      </c>
      <c r="V132" s="0" t="s">
        <v>732</v>
      </c>
      <c r="W132" s="0" t="s">
        <v>398</v>
      </c>
      <c r="X132" s="0" t="n">
        <v>5</v>
      </c>
      <c r="Y132" s="0" t="s">
        <v>399</v>
      </c>
      <c r="Z132" s="0" t="n">
        <v>0</v>
      </c>
      <c r="AA132" s="0" t="n">
        <v>0</v>
      </c>
      <c r="AB132" s="0" t="s">
        <v>400</v>
      </c>
      <c r="AC132" s="0" t="n">
        <v>0</v>
      </c>
      <c r="AD132" s="0" t="s">
        <v>733</v>
      </c>
      <c r="AE132" s="0" t="s">
        <v>734</v>
      </c>
      <c r="AG132" s="0" t="s">
        <v>426</v>
      </c>
    </row>
    <row r="133" customFormat="false" ht="15" hidden="false" customHeight="false" outlineLevel="0" collapsed="false">
      <c r="A133" s="0" t="s">
        <v>440</v>
      </c>
      <c r="B133" s="0" t="s">
        <v>392</v>
      </c>
      <c r="C133" s="0" t="s">
        <v>577</v>
      </c>
      <c r="D133" s="0" t="s">
        <v>420</v>
      </c>
      <c r="F133" s="0" t="n">
        <v>2</v>
      </c>
      <c r="G133" s="0" t="s">
        <v>430</v>
      </c>
      <c r="H133" s="0" t="s">
        <v>153</v>
      </c>
      <c r="I133" s="0" t="s">
        <v>421</v>
      </c>
      <c r="J133" s="0" t="s">
        <v>165</v>
      </c>
      <c r="K133" s="0" t="s">
        <v>396</v>
      </c>
      <c r="L133" s="0" t="n">
        <v>1.1839</v>
      </c>
      <c r="M133" s="0" t="s">
        <v>422</v>
      </c>
      <c r="N133" s="0" t="n">
        <v>0.165</v>
      </c>
      <c r="O133" s="0" t="n">
        <v>100.6315</v>
      </c>
      <c r="P133" s="0" t="n">
        <v>83.02</v>
      </c>
      <c r="Q133" s="0" t="s">
        <v>156</v>
      </c>
      <c r="R133" s="0" t="s">
        <v>170</v>
      </c>
      <c r="S133" s="0" t="n">
        <v>259</v>
      </c>
      <c r="T133" s="92" t="n">
        <v>0.031913</v>
      </c>
      <c r="U133" s="0" t="n">
        <v>2</v>
      </c>
      <c r="V133" s="0" t="s">
        <v>732</v>
      </c>
      <c r="W133" s="0" t="s">
        <v>398</v>
      </c>
      <c r="X133" s="0" t="n">
        <v>5</v>
      </c>
      <c r="Y133" s="0" t="s">
        <v>399</v>
      </c>
      <c r="Z133" s="0" t="n">
        <v>0</v>
      </c>
      <c r="AA133" s="0" t="n">
        <v>0</v>
      </c>
      <c r="AB133" s="0" t="s">
        <v>400</v>
      </c>
      <c r="AC133" s="0" t="n">
        <v>0</v>
      </c>
      <c r="AD133" s="0" t="s">
        <v>733</v>
      </c>
      <c r="AE133" s="0" t="s">
        <v>735</v>
      </c>
      <c r="AG133" s="0" t="s">
        <v>426</v>
      </c>
    </row>
    <row r="134" customFormat="false" ht="15" hidden="false" customHeight="false" outlineLevel="0" collapsed="false">
      <c r="A134" s="0" t="s">
        <v>276</v>
      </c>
      <c r="B134" s="0" t="s">
        <v>392</v>
      </c>
      <c r="C134" s="0" t="s">
        <v>577</v>
      </c>
      <c r="D134" s="0" t="s">
        <v>420</v>
      </c>
      <c r="F134" s="0" t="n">
        <v>1</v>
      </c>
      <c r="G134" s="0" t="s">
        <v>394</v>
      </c>
      <c r="H134" s="0" t="s">
        <v>168</v>
      </c>
      <c r="I134" s="0" t="s">
        <v>467</v>
      </c>
      <c r="J134" s="0" t="s">
        <v>188</v>
      </c>
      <c r="K134" s="0" t="s">
        <v>168</v>
      </c>
      <c r="L134" s="0" t="n">
        <v>1.2492</v>
      </c>
      <c r="M134" s="0" t="s">
        <v>422</v>
      </c>
      <c r="N134" s="0" t="n">
        <v>0.084</v>
      </c>
      <c r="O134" s="0" t="n">
        <v>106.182</v>
      </c>
      <c r="P134" s="0" t="n">
        <v>44.6</v>
      </c>
      <c r="Q134" s="0" t="s">
        <v>156</v>
      </c>
      <c r="R134" s="0" t="s">
        <v>189</v>
      </c>
      <c r="S134" s="0" t="n">
        <v>180</v>
      </c>
      <c r="T134" s="92" t="n">
        <v>0.251737</v>
      </c>
      <c r="U134" s="0" t="n">
        <v>1</v>
      </c>
      <c r="V134" s="0" t="s">
        <v>736</v>
      </c>
      <c r="W134" s="0" t="s">
        <v>398</v>
      </c>
      <c r="X134" s="0" t="n">
        <v>5</v>
      </c>
      <c r="Y134" s="0" t="s">
        <v>399</v>
      </c>
      <c r="Z134" s="0" t="n">
        <v>0</v>
      </c>
      <c r="AA134" s="0" t="n">
        <v>0</v>
      </c>
      <c r="AB134" s="0" t="s">
        <v>400</v>
      </c>
      <c r="AC134" s="0" t="n">
        <v>0</v>
      </c>
      <c r="AD134" s="0" t="s">
        <v>737</v>
      </c>
      <c r="AE134" s="0" t="s">
        <v>738</v>
      </c>
      <c r="AG134" s="0" t="s">
        <v>392</v>
      </c>
    </row>
    <row r="135" customFormat="false" ht="15" hidden="false" customHeight="false" outlineLevel="0" collapsed="false">
      <c r="A135" s="0" t="s">
        <v>192</v>
      </c>
      <c r="B135" s="0" t="s">
        <v>392</v>
      </c>
      <c r="C135" s="0" t="s">
        <v>577</v>
      </c>
      <c r="D135" s="0" t="s">
        <v>420</v>
      </c>
      <c r="F135" s="0" t="n">
        <v>1</v>
      </c>
      <c r="G135" s="0" t="s">
        <v>394</v>
      </c>
      <c r="H135" s="0" t="s">
        <v>153</v>
      </c>
      <c r="I135" s="0" t="s">
        <v>471</v>
      </c>
      <c r="J135" s="0" t="s">
        <v>192</v>
      </c>
      <c r="K135" s="0" t="s">
        <v>396</v>
      </c>
      <c r="L135" s="0" t="n">
        <v>1.1839</v>
      </c>
      <c r="M135" s="0" t="s">
        <v>422</v>
      </c>
      <c r="N135" s="0" t="n">
        <v>0.0225</v>
      </c>
      <c r="O135" s="0" t="n">
        <v>100.6315</v>
      </c>
      <c r="P135" s="0" t="n">
        <v>13.59</v>
      </c>
      <c r="Q135" s="0" t="s">
        <v>156</v>
      </c>
      <c r="R135" s="0" t="s">
        <v>340</v>
      </c>
      <c r="S135" s="0" t="n">
        <v>69</v>
      </c>
      <c r="T135" s="92" t="n">
        <v>0.405372</v>
      </c>
      <c r="U135" s="0" t="n">
        <v>1</v>
      </c>
      <c r="V135" s="0" t="s">
        <v>739</v>
      </c>
      <c r="W135" s="0" t="s">
        <v>398</v>
      </c>
      <c r="X135" s="0" t="n">
        <v>6</v>
      </c>
      <c r="Y135" s="0" t="s">
        <v>399</v>
      </c>
      <c r="Z135" s="0" t="n">
        <v>0</v>
      </c>
      <c r="AA135" s="0" t="n">
        <v>0</v>
      </c>
      <c r="AB135" s="0" t="s">
        <v>400</v>
      </c>
      <c r="AC135" s="0" t="n">
        <v>0</v>
      </c>
      <c r="AD135" s="0" t="s">
        <v>740</v>
      </c>
      <c r="AE135" s="0" t="s">
        <v>741</v>
      </c>
      <c r="AG135" s="0" t="s">
        <v>426</v>
      </c>
    </row>
    <row r="136" customFormat="false" ht="15" hidden="false" customHeight="false" outlineLevel="0" collapsed="false">
      <c r="A136" s="0" t="s">
        <v>192</v>
      </c>
      <c r="B136" s="0" t="s">
        <v>426</v>
      </c>
      <c r="C136" s="0" t="s">
        <v>577</v>
      </c>
      <c r="D136" s="0" t="s">
        <v>420</v>
      </c>
      <c r="F136" s="0" t="n">
        <v>1</v>
      </c>
      <c r="G136" s="0" t="s">
        <v>394</v>
      </c>
      <c r="H136" s="0" t="s">
        <v>153</v>
      </c>
      <c r="I136" s="0" t="s">
        <v>471</v>
      </c>
      <c r="J136" s="0" t="s">
        <v>192</v>
      </c>
      <c r="K136" s="0" t="s">
        <v>396</v>
      </c>
      <c r="L136" s="0" t="n">
        <v>1.1839</v>
      </c>
      <c r="M136" s="0" t="s">
        <v>422</v>
      </c>
      <c r="N136" s="0" t="n">
        <v>0.012</v>
      </c>
      <c r="O136" s="0" t="n">
        <v>100.6315</v>
      </c>
      <c r="P136" s="0" t="n">
        <v>7.25</v>
      </c>
      <c r="Q136" s="0" t="s">
        <v>156</v>
      </c>
      <c r="R136" s="0" t="s">
        <v>340</v>
      </c>
      <c r="S136" s="0" t="n">
        <v>37</v>
      </c>
      <c r="T136" s="92" t="n">
        <v>0.408587</v>
      </c>
      <c r="U136" s="0" t="n">
        <v>1</v>
      </c>
      <c r="V136" s="0" t="s">
        <v>742</v>
      </c>
      <c r="W136" s="0" t="s">
        <v>398</v>
      </c>
      <c r="X136" s="0" t="n">
        <v>6</v>
      </c>
      <c r="Y136" s="0" t="s">
        <v>399</v>
      </c>
      <c r="Z136" s="0" t="n">
        <v>0</v>
      </c>
      <c r="AA136" s="0" t="n">
        <v>0</v>
      </c>
      <c r="AB136" s="0" t="s">
        <v>400</v>
      </c>
      <c r="AC136" s="0" t="n">
        <v>0</v>
      </c>
      <c r="AD136" s="0" t="s">
        <v>743</v>
      </c>
      <c r="AE136" s="0" t="s">
        <v>744</v>
      </c>
      <c r="AG136" s="0" t="s">
        <v>426</v>
      </c>
    </row>
    <row r="137" customFormat="false" ht="15" hidden="false" customHeight="false" outlineLevel="0" collapsed="false">
      <c r="A137" s="0" t="s">
        <v>345</v>
      </c>
      <c r="B137" s="0" t="s">
        <v>531</v>
      </c>
      <c r="C137" s="0" t="s">
        <v>483</v>
      </c>
      <c r="D137" s="0" t="s">
        <v>484</v>
      </c>
      <c r="F137" s="0" t="n">
        <v>1</v>
      </c>
      <c r="G137" s="0" t="s">
        <v>394</v>
      </c>
      <c r="H137" s="0" t="s">
        <v>153</v>
      </c>
      <c r="I137" s="0" t="s">
        <v>539</v>
      </c>
      <c r="J137" s="0" t="s">
        <v>345</v>
      </c>
      <c r="K137" s="0" t="s">
        <v>396</v>
      </c>
      <c r="L137" s="0" t="n">
        <v>1.1839</v>
      </c>
      <c r="M137" s="0" t="s">
        <v>485</v>
      </c>
      <c r="N137" s="0" t="n">
        <v>0.035</v>
      </c>
      <c r="O137" s="0" t="n">
        <v>100.6315</v>
      </c>
      <c r="P137" s="0" t="n">
        <v>3.52</v>
      </c>
      <c r="Q137" s="0" t="s">
        <v>156</v>
      </c>
      <c r="R137" s="0" t="s">
        <v>346</v>
      </c>
      <c r="S137" s="0" t="n">
        <v>15</v>
      </c>
      <c r="T137" s="92" t="n">
        <v>0.290852</v>
      </c>
      <c r="U137" s="0" t="n">
        <v>1</v>
      </c>
      <c r="V137" s="0" t="s">
        <v>745</v>
      </c>
      <c r="W137" s="0" t="s">
        <v>398</v>
      </c>
      <c r="X137" s="0" t="n">
        <v>1</v>
      </c>
      <c r="Y137" s="0" t="s">
        <v>399</v>
      </c>
      <c r="Z137" s="0" t="n">
        <v>0</v>
      </c>
      <c r="AA137" s="0" t="n">
        <v>0</v>
      </c>
      <c r="AB137" s="0" t="s">
        <v>400</v>
      </c>
      <c r="AC137" s="0" t="n">
        <v>0</v>
      </c>
      <c r="AD137" s="0" t="s">
        <v>746</v>
      </c>
      <c r="AE137" s="0" t="s">
        <v>747</v>
      </c>
      <c r="AG137" s="0" t="s">
        <v>490</v>
      </c>
      <c r="AH137" s="0" t="n">
        <v>2.359</v>
      </c>
    </row>
    <row r="138" customFormat="false" ht="15" hidden="false" customHeight="false" outlineLevel="0" collapsed="false">
      <c r="A138" s="0" t="s">
        <v>345</v>
      </c>
      <c r="B138" s="0" t="s">
        <v>531</v>
      </c>
      <c r="C138" s="0" t="s">
        <v>680</v>
      </c>
      <c r="D138" s="0" t="s">
        <v>484</v>
      </c>
      <c r="F138" s="0" t="n">
        <v>1</v>
      </c>
      <c r="G138" s="0" t="s">
        <v>394</v>
      </c>
      <c r="H138" s="0" t="s">
        <v>153</v>
      </c>
      <c r="I138" s="0" t="s">
        <v>539</v>
      </c>
      <c r="J138" s="0" t="s">
        <v>345</v>
      </c>
      <c r="K138" s="0" t="s">
        <v>396</v>
      </c>
      <c r="L138" s="0" t="n">
        <v>1.1839</v>
      </c>
      <c r="M138" s="0" t="s">
        <v>485</v>
      </c>
      <c r="N138" s="0" t="n">
        <v>0.035</v>
      </c>
      <c r="O138" s="0" t="n">
        <v>100.6315</v>
      </c>
      <c r="P138" s="0" t="n">
        <v>3.52</v>
      </c>
      <c r="Q138" s="0" t="s">
        <v>156</v>
      </c>
      <c r="R138" s="0" t="s">
        <v>349</v>
      </c>
      <c r="S138" s="0" t="n">
        <v>15</v>
      </c>
      <c r="T138" s="92" t="n">
        <v>0.290852</v>
      </c>
      <c r="U138" s="0" t="n">
        <v>1</v>
      </c>
      <c r="V138" s="0" t="s">
        <v>748</v>
      </c>
      <c r="W138" s="0" t="s">
        <v>398</v>
      </c>
      <c r="X138" s="0" t="n">
        <v>1</v>
      </c>
      <c r="Y138" s="0" t="s">
        <v>399</v>
      </c>
      <c r="Z138" s="0" t="n">
        <v>0</v>
      </c>
      <c r="AA138" s="0" t="n">
        <v>0</v>
      </c>
      <c r="AB138" s="0" t="s">
        <v>400</v>
      </c>
      <c r="AC138" s="0" t="n">
        <v>0</v>
      </c>
      <c r="AD138" s="0" t="s">
        <v>749</v>
      </c>
      <c r="AE138" s="0" t="s">
        <v>750</v>
      </c>
      <c r="AG138" s="0" t="s">
        <v>490</v>
      </c>
      <c r="AH138" s="0" t="n">
        <v>2.359</v>
      </c>
    </row>
    <row r="139" customFormat="false" ht="15" hidden="false" customHeight="false" outlineLevel="0" collapsed="false">
      <c r="A139" s="0" t="s">
        <v>345</v>
      </c>
      <c r="B139" s="0" t="s">
        <v>531</v>
      </c>
      <c r="C139" s="0" t="s">
        <v>657</v>
      </c>
      <c r="D139" s="0" t="s">
        <v>484</v>
      </c>
      <c r="F139" s="0" t="n">
        <v>1</v>
      </c>
      <c r="G139" s="0" t="s">
        <v>394</v>
      </c>
      <c r="H139" s="0" t="s">
        <v>153</v>
      </c>
      <c r="I139" s="0" t="s">
        <v>539</v>
      </c>
      <c r="J139" s="0" t="s">
        <v>345</v>
      </c>
      <c r="K139" s="0" t="s">
        <v>396</v>
      </c>
      <c r="L139" s="0" t="n">
        <v>1.1839</v>
      </c>
      <c r="M139" s="0" t="s">
        <v>485</v>
      </c>
      <c r="N139" s="0" t="n">
        <v>0.035</v>
      </c>
      <c r="O139" s="0" t="n">
        <v>100.6315</v>
      </c>
      <c r="P139" s="0" t="n">
        <v>3.52</v>
      </c>
      <c r="Q139" s="0" t="s">
        <v>156</v>
      </c>
      <c r="R139" s="0" t="s">
        <v>349</v>
      </c>
      <c r="S139" s="0" t="n">
        <v>15</v>
      </c>
      <c r="T139" s="92" t="n">
        <v>0.290852</v>
      </c>
      <c r="U139" s="0" t="n">
        <v>1</v>
      </c>
      <c r="V139" s="0" t="s">
        <v>751</v>
      </c>
      <c r="W139" s="0" t="s">
        <v>398</v>
      </c>
      <c r="X139" s="0" t="n">
        <v>1</v>
      </c>
      <c r="Y139" s="0" t="s">
        <v>399</v>
      </c>
      <c r="Z139" s="0" t="n">
        <v>2</v>
      </c>
      <c r="AA139" s="0" t="n">
        <v>8</v>
      </c>
      <c r="AB139" s="0" t="s">
        <v>400</v>
      </c>
      <c r="AC139" s="0" t="n">
        <v>0</v>
      </c>
      <c r="AD139" s="0" t="s">
        <v>752</v>
      </c>
      <c r="AE139" s="0" t="s">
        <v>753</v>
      </c>
      <c r="AG139" s="0" t="s">
        <v>490</v>
      </c>
      <c r="AH139" s="0" t="n">
        <v>2.359</v>
      </c>
    </row>
    <row r="140" customFormat="false" ht="15" hidden="false" customHeight="false" outlineLevel="0" collapsed="false">
      <c r="A140" s="0" t="inlineStr">
        <is>
          <t xml:space="preserve">gpt-image-2</t>
        </is>
      </c>
      <c r="B140" s="0" t="inlineStr">
        <is>
          <t xml:space="preserve">default</t>
        </is>
      </c>
      <c r="C140" s="0" t="inlineStr">
        <is>
          <t xml:space="preserve">t2i</t>
        </is>
      </c>
      <c r="D140" s="0" t="inlineStr">
        <is>
          <t xml:space="preserve">-</t>
        </is>
      </c>
      <c r="E140" s="0" t="inlineStr">
        <is>
          <t xml:space="preserve">low</t>
        </is>
      </c>
      <c r="F140" s="0">
        <v>2</v>
      </c>
      <c r="G140" s="0" t="inlineStr">
        <is>
          <t xml:space="preserve">резервная</t>
        </is>
      </c>
      <c r="H140" s="0" t="inlineStr">
        <is>
          <t xml:space="preserve">Kie</t>
        </is>
      </c>
      <c r="I140" s="0" t="inlineStr">
        <is>
          <t xml:space="preserve">OpenAI</t>
        </is>
      </c>
      <c r="J140" s="0" t="inlineStr">
        <is>
          <t xml:space="preserve">gpt-image-2-text-to-image</t>
        </is>
      </c>
      <c r="K140" s="0" t="inlineStr">
        <is>
          <t xml:space="preserve">прямой</t>
        </is>
      </c>
      <c r="L140" s="0">
        <v>1.1839</v>
      </c>
      <c r="M140" s="0" t="inlineStr">
        <is>
          <t xml:space="preserve">за изображение</t>
        </is>
      </c>
      <c r="N140" s="0">
        <v>0.03</v>
      </c>
      <c r="O140" s="0">
        <v>100.6315</v>
      </c>
      <c r="P140" s="0">
        <v>3.02</v>
      </c>
      <c r="Q140" s="0" t="inlineStr">
        <is>
          <t xml:space="preserve">да</t>
        </is>
      </c>
      <c r="R140" s="0" t="inlineStr">
        <is>
          <t xml:space="preserve">HIGH — owner list 2026-07-25; fallback rate signed; live probe not run in this change</t>
        </is>
      </c>
      <c r="S140" s="0">
        <v>13</v>
      </c>
      <c r="T140" s="92">
        <v>0.298644</v>
      </c>
      <c r="U140" s="0">
        <v>2</v>
      </c>
      <c r="V140" s="0" t="inlineStr">
        <is>
          <t xml:space="preserve">Сетка FX стр.36; fallback cost row</t>
        </is>
      </c>
      <c r="W140" s="0" t="inlineStr">
        <is>
          <t xml:space="preserve">2026-08-14</t>
        </is>
      </c>
      <c r="X140" s="0">
        <v>1</v>
      </c>
      <c r="Y140" s="0" t="inlineStr">
        <is>
          <t xml:space="preserve">any</t>
        </is>
      </c>
      <c r="Z140" s="0">
        <v>0</v>
      </c>
      <c r="AA140" s="0">
        <v>0</v>
      </c>
      <c r="AB140" s="0" t="inlineStr">
        <is>
          <t xml:space="preserve">плоская</t>
        </is>
      </c>
      <c r="AC140" s="0">
        <v>0</v>
      </c>
      <c r="AD140" s="0" t="inlineStr">
        <is>
          <t xml:space="preserve">gpt-image-2|default|t2i|-|low|any</t>
        </is>
      </c>
      <c r="AE140" s="0" t="inlineStr">
        <is>
          <t xml:space="preserve">gpt-image-2|default|t2i|-|low|any|нога2</t>
        </is>
      </c>
      <c r="AG140" s="0" t="inlineStr">
        <is>
          <t xml:space="preserve">low</t>
        </is>
      </c>
      <c r="AF140" s="59" t="inlineStr">
        <is>
          <t xml:space="preserve">COSTED RESERVE ONLY — Kie spec has resolution, not OpenAI quality; fallback is not armed for low until mapping is approved.</t>
        </is>
      </c>
      <c r="AH140" s="59" t="inlineStr">
        <is>
          <t xml:space="preserve"/>
        </is>
      </c>
    </row>
    <row r="141" customFormat="false" ht="15" hidden="false" customHeight="false" outlineLevel="0" collapsed="false">
      <c r="A141" s="0" t="inlineStr">
        <is>
          <t xml:space="preserve">gpt-image-2</t>
        </is>
      </c>
      <c r="B141" s="0" t="inlineStr">
        <is>
          <t xml:space="preserve">default</t>
        </is>
      </c>
      <c r="C141" s="0" t="inlineStr">
        <is>
          <t xml:space="preserve">t2i</t>
        </is>
      </c>
      <c r="D141" s="0" t="inlineStr">
        <is>
          <t xml:space="preserve">-</t>
        </is>
      </c>
      <c r="E141" s="0" t="inlineStr">
        <is>
          <t xml:space="preserve">medium</t>
        </is>
      </c>
      <c r="F141" s="0">
        <v>2</v>
      </c>
      <c r="G141" s="0" t="inlineStr">
        <is>
          <t xml:space="preserve">резервная</t>
        </is>
      </c>
      <c r="H141" s="0" t="inlineStr">
        <is>
          <t xml:space="preserve">Kie</t>
        </is>
      </c>
      <c r="I141" s="0" t="inlineStr">
        <is>
          <t xml:space="preserve">OpenAI</t>
        </is>
      </c>
      <c r="J141" s="0" t="inlineStr">
        <is>
          <t xml:space="preserve">gpt-image-2-text-to-image</t>
        </is>
      </c>
      <c r="K141" s="0" t="inlineStr">
        <is>
          <t xml:space="preserve">прямой</t>
        </is>
      </c>
      <c r="L141" s="0">
        <v>1.1839</v>
      </c>
      <c r="M141" s="0" t="inlineStr">
        <is>
          <t xml:space="preserve">за изображение</t>
        </is>
      </c>
      <c r="N141" s="0">
        <v>0.05</v>
      </c>
      <c r="O141" s="0">
        <v>100.6315</v>
      </c>
      <c r="P141" s="0">
        <v>5.03</v>
      </c>
      <c r="Q141" s="0" t="inlineStr">
        <is>
          <t xml:space="preserve">да</t>
        </is>
      </c>
      <c r="R141" s="0" t="inlineStr">
        <is>
          <t xml:space="preserve">HIGH — owner list 2026-07-25; fallback rate signed; live probe not run in this change</t>
        </is>
      </c>
      <c r="S141" s="0">
        <v>21</v>
      </c>
      <c r="T141" s="92">
        <v>0.276379</v>
      </c>
      <c r="U141" s="0">
        <v>2</v>
      </c>
      <c r="V141" s="0" t="inlineStr">
        <is>
          <t xml:space="preserve">Сетка FX стр.37; fallback cost row</t>
        </is>
      </c>
      <c r="W141" s="0" t="inlineStr">
        <is>
          <t xml:space="preserve">2026-08-14</t>
        </is>
      </c>
      <c r="X141" s="0">
        <v>1</v>
      </c>
      <c r="Y141" s="0" t="inlineStr">
        <is>
          <t xml:space="preserve">any</t>
        </is>
      </c>
      <c r="Z141" s="0">
        <v>0</v>
      </c>
      <c r="AA141" s="0">
        <v>0</v>
      </c>
      <c r="AB141" s="0" t="inlineStr">
        <is>
          <t xml:space="preserve">плоская</t>
        </is>
      </c>
      <c r="AC141" s="0">
        <v>0</v>
      </c>
      <c r="AD141" s="0" t="inlineStr">
        <is>
          <t xml:space="preserve">gpt-image-2|default|t2i|-|medium|any</t>
        </is>
      </c>
      <c r="AE141" s="0" t="inlineStr">
        <is>
          <t xml:space="preserve">gpt-image-2|default|t2i|-|medium|any|нога2</t>
        </is>
      </c>
      <c r="AG141" s="0" t="inlineStr">
        <is>
          <t xml:space="preserve">low</t>
        </is>
      </c>
      <c r="AF141" s="59" t="inlineStr">
        <is>
          <t xml:space="preserve">COSTED RESERVE ONLY — Kie spec has resolution, not OpenAI quality; fallback is not armed for medium until mapping is approved.</t>
        </is>
      </c>
      <c r="AH141" s="59" t="inlineStr">
        <is>
          <t xml:space="preserve"/>
        </is>
      </c>
    </row>
    <row r="142" customFormat="false" ht="15" hidden="false" customHeight="false" outlineLevel="0" collapsed="false">
      <c r="A142" s="0" t="inlineStr">
        <is>
          <t xml:space="preserve">gpt-image-2</t>
        </is>
      </c>
      <c r="B142" s="0" t="inlineStr">
        <is>
          <t xml:space="preserve">default</t>
        </is>
      </c>
      <c r="C142" s="0" t="inlineStr">
        <is>
          <t xml:space="preserve">t2i</t>
        </is>
      </c>
      <c r="D142" s="0" t="inlineStr">
        <is>
          <t xml:space="preserve">-</t>
        </is>
      </c>
      <c r="E142" s="0" t="inlineStr">
        <is>
          <t xml:space="preserve">high</t>
        </is>
      </c>
      <c r="F142" s="0">
        <v>2</v>
      </c>
      <c r="G142" s="0" t="inlineStr">
        <is>
          <t xml:space="preserve">резервная</t>
        </is>
      </c>
      <c r="H142" s="0" t="inlineStr">
        <is>
          <t xml:space="preserve">Kie</t>
        </is>
      </c>
      <c r="I142" s="0" t="inlineStr">
        <is>
          <t xml:space="preserve">OpenAI</t>
        </is>
      </c>
      <c r="J142" s="0" t="inlineStr">
        <is>
          <t xml:space="preserve">gpt-image-2-text-to-image</t>
        </is>
      </c>
      <c r="K142" s="0" t="inlineStr">
        <is>
          <t xml:space="preserve">прямой</t>
        </is>
      </c>
      <c r="L142" s="0">
        <v>1.1839</v>
      </c>
      <c r="M142" s="0" t="inlineStr">
        <is>
          <t xml:space="preserve">за изображение</t>
        </is>
      </c>
      <c r="N142" s="0">
        <v>0.08</v>
      </c>
      <c r="O142" s="0">
        <v>100.6315</v>
      </c>
      <c r="P142" s="0">
        <v>8.05</v>
      </c>
      <c r="Q142" s="0" t="inlineStr">
        <is>
          <t xml:space="preserve">да</t>
        </is>
      </c>
      <c r="R142" s="0" t="inlineStr">
        <is>
          <t xml:space="preserve">HIGH — owner list 2026-07-25; fallback rate signed; live probe not run in this change</t>
        </is>
      </c>
      <c r="S142" s="0">
        <v>33</v>
      </c>
      <c r="T142" s="92">
        <v>0.263222</v>
      </c>
      <c r="U142" s="0">
        <v>2</v>
      </c>
      <c r="V142" s="0" t="inlineStr">
        <is>
          <t xml:space="preserve">Сетка FX стр.38; fallback cost row</t>
        </is>
      </c>
      <c r="W142" s="0" t="inlineStr">
        <is>
          <t xml:space="preserve">2026-08-14</t>
        </is>
      </c>
      <c r="X142" s="0">
        <v>1</v>
      </c>
      <c r="Y142" s="0" t="inlineStr">
        <is>
          <t xml:space="preserve">any</t>
        </is>
      </c>
      <c r="Z142" s="0">
        <v>0</v>
      </c>
      <c r="AA142" s="0">
        <v>0</v>
      </c>
      <c r="AB142" s="0" t="inlineStr">
        <is>
          <t xml:space="preserve">плоская</t>
        </is>
      </c>
      <c r="AC142" s="0">
        <v>0</v>
      </c>
      <c r="AD142" s="0" t="inlineStr">
        <is>
          <t xml:space="preserve">gpt-image-2|default|t2i|-|high|any</t>
        </is>
      </c>
      <c r="AE142" s="0" t="inlineStr">
        <is>
          <t xml:space="preserve">gpt-image-2|default|t2i|-|high|any|нога2</t>
        </is>
      </c>
      <c r="AG142" s="0" t="inlineStr">
        <is>
          <t xml:space="preserve">low</t>
        </is>
      </c>
      <c r="AF142" s="59" t="inlineStr">
        <is>
          <t xml:space="preserve">COSTED RESERVE ONLY — Kie spec has resolution, not OpenAI quality; fallback is not armed for high until mapping is approved.</t>
        </is>
      </c>
      <c r="AH142" s="59" t="inlineStr">
        <is>
          <t xml:space="preserve"/>
        </is>
      </c>
    </row>
    <row r="143" customFormat="false" ht="15" hidden="false" customHeight="false" outlineLevel="0" collapsed="false">
      <c r="A143" s="0" t="inlineStr">
        <is>
          <t xml:space="preserve">gpt-image-2</t>
        </is>
      </c>
      <c r="B143" s="0" t="inlineStr">
        <is>
          <t xml:space="preserve">default</t>
        </is>
      </c>
      <c r="C143" s="0" t="inlineStr">
        <is>
          <t xml:space="preserve">i2i</t>
        </is>
      </c>
      <c r="D143" s="0" t="inlineStr">
        <is>
          <t xml:space="preserve">-</t>
        </is>
      </c>
      <c r="F143" s="0">
        <v>2</v>
      </c>
      <c r="G143" s="0" t="inlineStr">
        <is>
          <t xml:space="preserve">резервная</t>
        </is>
      </c>
      <c r="H143" s="0" t="inlineStr">
        <is>
          <t xml:space="preserve">Kie</t>
        </is>
      </c>
      <c r="I143" s="0" t="inlineStr">
        <is>
          <t xml:space="preserve">OpenAI</t>
        </is>
      </c>
      <c r="J143" s="0" t="inlineStr">
        <is>
          <t xml:space="preserve">gpt-image-2-image-to-image</t>
        </is>
      </c>
      <c r="K143" s="0" t="inlineStr">
        <is>
          <t xml:space="preserve">прямой</t>
        </is>
      </c>
      <c r="L143" s="0">
        <v>1.1839</v>
      </c>
      <c r="M143" s="0" t="inlineStr">
        <is>
          <t xml:space="preserve">за изображение</t>
        </is>
      </c>
      <c r="N143" s="0">
        <v>0.03</v>
      </c>
      <c r="O143" s="0">
        <v>100.6315</v>
      </c>
      <c r="P143" s="0">
        <v>3.02</v>
      </c>
      <c r="Q143" s="0" t="inlineStr">
        <is>
          <t xml:space="preserve">да</t>
        </is>
      </c>
      <c r="R143" s="0" t="inlineStr">
        <is>
          <t xml:space="preserve">HIGH — owner list 2026-07-25; fallback rate signed; live probe not run in this change</t>
        </is>
      </c>
      <c r="S143" s="0">
        <v>13</v>
      </c>
      <c r="T143" s="92">
        <v>0.298644</v>
      </c>
      <c r="U143" s="0">
        <v>2</v>
      </c>
      <c r="V143" s="0" t="inlineStr">
        <is>
          <t xml:space="preserve">Сетка FX стр.89; fallback cost row</t>
        </is>
      </c>
      <c r="W143" s="0" t="inlineStr">
        <is>
          <t xml:space="preserve">2026-08-14</t>
        </is>
      </c>
      <c r="X143" s="0">
        <v>1</v>
      </c>
      <c r="Y143" s="0" t="inlineStr">
        <is>
          <t xml:space="preserve">any</t>
        </is>
      </c>
      <c r="Z143" s="0">
        <v>0</v>
      </c>
      <c r="AA143" s="0">
        <v>0</v>
      </c>
      <c r="AB143" s="0" t="inlineStr">
        <is>
          <t xml:space="preserve">плоская</t>
        </is>
      </c>
      <c r="AC143" s="0">
        <v>0</v>
      </c>
      <c r="AD143" s="0" t="inlineStr">
        <is>
          <t xml:space="preserve">gpt-image-2|default|i2i|-|low|any</t>
        </is>
      </c>
      <c r="AE143" s="0" t="inlineStr">
        <is>
          <t xml:space="preserve">gpt-image-2|default|i2i|-|low|any|нога2</t>
        </is>
      </c>
      <c r="AG143" s="0" t="inlineStr">
        <is>
          <t xml:space="preserve">low</t>
        </is>
      </c>
      <c r="E143" s="59" t="inlineStr">
        <is>
          <t xml:space="preserve">low</t>
        </is>
      </c>
      <c r="AF143" s="59" t="inlineStr">
        <is>
          <t xml:space="preserve">COSTED RESERVE ONLY — Kie spec has resolution, not OpenAI quality; fallback is not armed for low until mapping is approved.</t>
        </is>
      </c>
      <c r="AH143" s="59" t="inlineStr">
        <is>
          <t xml:space="preserve"/>
        </is>
      </c>
    </row>
    <row r="144" customFormat="false" ht="15" hidden="false" customHeight="false" outlineLevel="0" collapsed="false">
      <c r="A144" s="0" t="inlineStr">
        <is>
          <t xml:space="preserve">gpt-image-2</t>
        </is>
      </c>
      <c r="B144" s="0" t="inlineStr">
        <is>
          <t xml:space="preserve">default</t>
        </is>
      </c>
      <c r="C144" s="0" t="inlineStr">
        <is>
          <t xml:space="preserve">i2i</t>
        </is>
      </c>
      <c r="D144" s="0" t="inlineStr">
        <is>
          <t xml:space="preserve">-</t>
        </is>
      </c>
      <c r="F144" s="0">
        <v>2</v>
      </c>
      <c r="G144" s="0" t="inlineStr">
        <is>
          <t xml:space="preserve">резервная</t>
        </is>
      </c>
      <c r="H144" s="0" t="inlineStr">
        <is>
          <t xml:space="preserve">Kie</t>
        </is>
      </c>
      <c r="I144" s="0" t="inlineStr">
        <is>
          <t xml:space="preserve">OpenAI</t>
        </is>
      </c>
      <c r="J144" s="0" t="inlineStr">
        <is>
          <t xml:space="preserve">gpt-image-2-image-to-image</t>
        </is>
      </c>
      <c r="K144" s="0" t="inlineStr">
        <is>
          <t xml:space="preserve">прямой</t>
        </is>
      </c>
      <c r="L144" s="0">
        <v>1.1839</v>
      </c>
      <c r="M144" s="0" t="inlineStr">
        <is>
          <t xml:space="preserve">за изображение</t>
        </is>
      </c>
      <c r="N144" s="0">
        <v>0.05</v>
      </c>
      <c r="O144" s="0">
        <v>100.6315</v>
      </c>
      <c r="P144" s="0">
        <v>5.03</v>
      </c>
      <c r="Q144" s="0" t="inlineStr">
        <is>
          <t xml:space="preserve">да</t>
        </is>
      </c>
      <c r="R144" s="0" t="inlineStr">
        <is>
          <t xml:space="preserve">HIGH — owner list 2026-07-25; fallback rate signed; live probe not run in this change</t>
        </is>
      </c>
      <c r="S144" s="0">
        <v>21</v>
      </c>
      <c r="T144" s="92">
        <v>0.276379</v>
      </c>
      <c r="U144" s="0">
        <v>2</v>
      </c>
      <c r="V144" s="0" t="inlineStr">
        <is>
          <t xml:space="preserve">Сетка FX стр.90; fallback cost row</t>
        </is>
      </c>
      <c r="W144" s="0" t="inlineStr">
        <is>
          <t xml:space="preserve">2026-08-14</t>
        </is>
      </c>
      <c r="X144" s="0">
        <v>1</v>
      </c>
      <c r="Y144" s="0" t="inlineStr">
        <is>
          <t xml:space="preserve">any</t>
        </is>
      </c>
      <c r="Z144" s="0">
        <v>0</v>
      </c>
      <c r="AA144" s="0">
        <v>0</v>
      </c>
      <c r="AB144" s="0" t="inlineStr">
        <is>
          <t xml:space="preserve">плоская</t>
        </is>
      </c>
      <c r="AC144" s="0">
        <v>0</v>
      </c>
      <c r="AD144" s="0" t="inlineStr">
        <is>
          <t xml:space="preserve">gpt-image-2|default|i2i|-|medium|any</t>
        </is>
      </c>
      <c r="AE144" s="0" t="inlineStr">
        <is>
          <t xml:space="preserve">gpt-image-2|default|i2i|-|medium|any|нога2</t>
        </is>
      </c>
      <c r="AG144" s="0" t="inlineStr">
        <is>
          <t xml:space="preserve">low</t>
        </is>
      </c>
      <c r="E144" s="59" t="inlineStr">
        <is>
          <t xml:space="preserve">medium</t>
        </is>
      </c>
      <c r="AF144" s="59" t="inlineStr">
        <is>
          <t xml:space="preserve">COSTED RESERVE ONLY — Kie spec has resolution, not OpenAI quality; fallback is not armed for medium until mapping is approved.</t>
        </is>
      </c>
      <c r="AH144" s="59" t="inlineStr">
        <is>
          <t xml:space="preserve"/>
        </is>
      </c>
    </row>
    <row r="145" customFormat="false" ht="15" hidden="false" customHeight="false" outlineLevel="0" collapsed="false">
      <c r="A145" s="0" t="inlineStr">
        <is>
          <t xml:space="preserve">gpt-image-2</t>
        </is>
      </c>
      <c r="B145" s="0" t="inlineStr">
        <is>
          <t xml:space="preserve">default</t>
        </is>
      </c>
      <c r="C145" s="0" t="inlineStr">
        <is>
          <t xml:space="preserve">i2i</t>
        </is>
      </c>
      <c r="D145" s="0" t="inlineStr">
        <is>
          <t xml:space="preserve">-</t>
        </is>
      </c>
      <c r="F145" s="0">
        <v>2</v>
      </c>
      <c r="G145" s="0" t="inlineStr">
        <is>
          <t xml:space="preserve">резервная</t>
        </is>
      </c>
      <c r="H145" s="0" t="inlineStr">
        <is>
          <t xml:space="preserve">Kie</t>
        </is>
      </c>
      <c r="I145" s="0" t="inlineStr">
        <is>
          <t xml:space="preserve">OpenAI</t>
        </is>
      </c>
      <c r="J145" s="0" t="inlineStr">
        <is>
          <t xml:space="preserve">gpt-image-2-image-to-image</t>
        </is>
      </c>
      <c r="K145" s="0" t="inlineStr">
        <is>
          <t xml:space="preserve">прямой</t>
        </is>
      </c>
      <c r="L145" s="0">
        <v>1.1839</v>
      </c>
      <c r="M145" s="0" t="inlineStr">
        <is>
          <t xml:space="preserve">за изображение</t>
        </is>
      </c>
      <c r="N145" s="0">
        <v>0.08</v>
      </c>
      <c r="O145" s="0">
        <v>100.6315</v>
      </c>
      <c r="P145" s="0">
        <v>8.05</v>
      </c>
      <c r="Q145" s="0" t="inlineStr">
        <is>
          <t xml:space="preserve">да</t>
        </is>
      </c>
      <c r="R145" s="0" t="inlineStr">
        <is>
          <t xml:space="preserve">HIGH — owner list 2026-07-25; fallback rate signed; live probe not run in this change</t>
        </is>
      </c>
      <c r="S145" s="0">
        <v>33</v>
      </c>
      <c r="T145" s="92">
        <v>0.263222</v>
      </c>
      <c r="U145" s="0">
        <v>2</v>
      </c>
      <c r="V145" s="0" t="inlineStr">
        <is>
          <t xml:space="preserve">Сетка FX стр.91; fallback cost row</t>
        </is>
      </c>
      <c r="W145" s="0" t="inlineStr">
        <is>
          <t xml:space="preserve">2026-08-14</t>
        </is>
      </c>
      <c r="X145" s="0">
        <v>1</v>
      </c>
      <c r="Y145" s="0" t="inlineStr">
        <is>
          <t xml:space="preserve">any</t>
        </is>
      </c>
      <c r="Z145" s="0">
        <v>0</v>
      </c>
      <c r="AA145" s="0">
        <v>0</v>
      </c>
      <c r="AB145" s="0" t="inlineStr">
        <is>
          <t xml:space="preserve">плоская</t>
        </is>
      </c>
      <c r="AC145" s="0">
        <v>0</v>
      </c>
      <c r="AD145" s="0" t="inlineStr">
        <is>
          <t xml:space="preserve">gpt-image-2|default|i2i|-|high|any</t>
        </is>
      </c>
      <c r="AE145" s="0" t="inlineStr">
        <is>
          <t xml:space="preserve">gpt-image-2|default|i2i|-|high|any|нога2</t>
        </is>
      </c>
      <c r="AG145" s="0" t="inlineStr">
        <is>
          <t xml:space="preserve">low</t>
        </is>
      </c>
      <c r="E145" s="59" t="inlineStr">
        <is>
          <t xml:space="preserve">high</t>
        </is>
      </c>
      <c r="AF145" s="59" t="inlineStr">
        <is>
          <t xml:space="preserve">COSTED RESERVE ONLY — Kie spec has resolution, not OpenAI quality; fallback is not armed for high until mapping is approved.</t>
        </is>
      </c>
      <c r="AH145" s="59" t="inlineStr">
        <is>
          <t xml:space="preserve"/>
        </is>
      </c>
    </row>
    <row r="146" customFormat="false" ht="15" hidden="false" customHeight="false" outlineLevel="0" collapsed="false">
      <c r="A146" s="0" t="inlineStr">
        <is>
          <t xml:space="preserve">gemini-2-5-flash-image</t>
        </is>
      </c>
      <c r="B146" s="0" t="inlineStr">
        <is>
          <t xml:space="preserve">default</t>
        </is>
      </c>
      <c r="C146" s="0" t="inlineStr">
        <is>
          <t xml:space="preserve">t2i</t>
        </is>
      </c>
      <c r="D146" s="0" t="inlineStr">
        <is>
          <t xml:space="preserve">-</t>
        </is>
      </c>
      <c r="F146" s="0">
        <v>2</v>
      </c>
      <c r="G146" s="0" t="inlineStr">
        <is>
          <t xml:space="preserve">резервная</t>
        </is>
      </c>
      <c r="H146" s="0" t="inlineStr">
        <is>
          <t xml:space="preserve">Kie</t>
        </is>
      </c>
      <c r="I146" s="0" t="inlineStr">
        <is>
          <t xml:space="preserve">Google</t>
        </is>
      </c>
      <c r="J146" s="0" t="inlineStr">
        <is>
          <t xml:space="preserve">google/nano-banana</t>
        </is>
      </c>
      <c r="K146" s="0" t="inlineStr">
        <is>
          <t xml:space="preserve">прямой</t>
        </is>
      </c>
      <c r="L146" s="0">
        <v>1.1839</v>
      </c>
      <c r="M146" s="0" t="inlineStr">
        <is>
          <t xml:space="preserve">за изображение</t>
        </is>
      </c>
      <c r="N146" s="0">
        <v>0.02</v>
      </c>
      <c r="O146" s="0">
        <v>100.6315</v>
      </c>
      <c r="P146" s="0">
        <v>2.01</v>
      </c>
      <c r="Q146" s="0" t="inlineStr">
        <is>
          <t xml:space="preserve">да</t>
        </is>
      </c>
      <c r="R146" s="0" t="inlineStr">
        <is>
          <t xml:space="preserve">HIGH — owner list 2026-07-25; fallback rate signed; live probe not run in this change</t>
        </is>
      </c>
      <c r="S146" s="0">
        <v>9</v>
      </c>
      <c r="T146" s="92">
        <v>0.324621</v>
      </c>
      <c r="U146" s="0">
        <v>2</v>
      </c>
      <c r="V146" s="0" t="inlineStr">
        <is>
          <t xml:space="preserve">Сетка FX стр.31; fallback cost row</t>
        </is>
      </c>
      <c r="W146" s="0" t="inlineStr">
        <is>
          <t xml:space="preserve">2026-08-14</t>
        </is>
      </c>
      <c r="X146" s="0">
        <v>1</v>
      </c>
      <c r="Y146" s="0" t="inlineStr">
        <is>
          <t xml:space="preserve">any</t>
        </is>
      </c>
      <c r="Z146" s="0">
        <v>0</v>
      </c>
      <c r="AA146" s="0">
        <v>0</v>
      </c>
      <c r="AB146" s="0" t="inlineStr">
        <is>
          <t xml:space="preserve">плоская</t>
        </is>
      </c>
      <c r="AC146" s="0">
        <v>0</v>
      </c>
      <c r="AD146" s="0" t="inlineStr">
        <is>
          <t xml:space="preserve">gemini-2-5-flash-image|default|t2i|-|-|any</t>
        </is>
      </c>
      <c r="AE146" s="0" t="inlineStr">
        <is>
          <t xml:space="preserve">gemini-2-5-flash-image|default|t2i|-|-|any|нога2</t>
        </is>
      </c>
      <c r="AG146" s="0" t="inlineStr">
        <is>
          <t xml:space="preserve">default</t>
        </is>
      </c>
      <c r="E146" s="59" t="inlineStr">
        <is>
          <t xml:space="preserve"/>
        </is>
      </c>
      <c r="AF146" s="59" t="inlineStr">
        <is>
          <t xml:space="preserve"/>
        </is>
      </c>
      <c r="AH146" s="59" t="inlineStr">
        <is>
          <t xml:space="preserve"/>
        </is>
      </c>
    </row>
    <row r="147" customFormat="false" ht="15" hidden="false" customHeight="false" outlineLevel="0" collapsed="false">
      <c r="A147" s="0" t="inlineStr">
        <is>
          <t xml:space="preserve">gemini-2-5-flash-image</t>
        </is>
      </c>
      <c r="B147" s="0" t="inlineStr">
        <is>
          <t xml:space="preserve">default</t>
        </is>
      </c>
      <c r="C147" s="0" t="inlineStr">
        <is>
          <t xml:space="preserve">i2i</t>
        </is>
      </c>
      <c r="D147" s="0" t="inlineStr">
        <is>
          <t xml:space="preserve">-</t>
        </is>
      </c>
      <c r="F147" s="0">
        <v>2</v>
      </c>
      <c r="G147" s="0" t="inlineStr">
        <is>
          <t xml:space="preserve">резервная</t>
        </is>
      </c>
      <c r="H147" s="0" t="inlineStr">
        <is>
          <t xml:space="preserve">Kie</t>
        </is>
      </c>
      <c r="I147" s="0" t="inlineStr">
        <is>
          <t xml:space="preserve">Google</t>
        </is>
      </c>
      <c r="J147" s="0" t="inlineStr">
        <is>
          <t xml:space="preserve">google/nano-banana-edit</t>
        </is>
      </c>
      <c r="K147" s="0" t="inlineStr">
        <is>
          <t xml:space="preserve">прямой</t>
        </is>
      </c>
      <c r="L147" s="0">
        <v>1.1839</v>
      </c>
      <c r="M147" s="0" t="inlineStr">
        <is>
          <t xml:space="preserve">за изображение</t>
        </is>
      </c>
      <c r="N147" s="0">
        <v>0.02</v>
      </c>
      <c r="O147" s="0">
        <v>100.6315</v>
      </c>
      <c r="P147" s="0">
        <v>2.01</v>
      </c>
      <c r="Q147" s="0" t="inlineStr">
        <is>
          <t xml:space="preserve">да</t>
        </is>
      </c>
      <c r="R147" s="0" t="inlineStr">
        <is>
          <t xml:space="preserve">HIGH — owner list 2026-07-25; fallback rate signed; live probe not run in this change</t>
        </is>
      </c>
      <c r="S147" s="0">
        <v>9</v>
      </c>
      <c r="T147" s="92">
        <v>0.324621</v>
      </c>
      <c r="U147" s="0">
        <v>2</v>
      </c>
      <c r="V147" s="0" t="inlineStr">
        <is>
          <t xml:space="preserve">Сетка FX стр.92; fallback cost row</t>
        </is>
      </c>
      <c r="W147" s="0" t="inlineStr">
        <is>
          <t xml:space="preserve">2026-08-14</t>
        </is>
      </c>
      <c r="X147" s="0">
        <v>1</v>
      </c>
      <c r="Y147" s="0" t="inlineStr">
        <is>
          <t xml:space="preserve">any</t>
        </is>
      </c>
      <c r="Z147" s="0">
        <v>0</v>
      </c>
      <c r="AA147" s="0">
        <v>0</v>
      </c>
      <c r="AB147" s="0" t="inlineStr">
        <is>
          <t xml:space="preserve">плоская</t>
        </is>
      </c>
      <c r="AC147" s="0">
        <v>0</v>
      </c>
      <c r="AD147" s="0" t="inlineStr">
        <is>
          <t xml:space="preserve">gemini-2-5-flash-image|default|i2i|-|-|any</t>
        </is>
      </c>
      <c r="AE147" s="0" t="inlineStr">
        <is>
          <t xml:space="preserve">gemini-2-5-flash-image|default|i2i|-|-|any|нога2</t>
        </is>
      </c>
      <c r="AG147" s="0" t="inlineStr">
        <is>
          <t xml:space="preserve">default</t>
        </is>
      </c>
      <c r="E147" s="59" t="inlineStr">
        <is>
          <t xml:space="preserve"/>
        </is>
      </c>
      <c r="AF147" s="59" t="inlineStr">
        <is>
          <t xml:space="preserve"/>
        </is>
      </c>
      <c r="AH147" s="59" t="inlineStr">
        <is>
          <t xml:space="preserve"/>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20"/>
    <col collapsed="false" customWidth="true" hidden="false" outlineLevel="0" max="3" min="3" style="1" width="12"/>
    <col collapsed="false" customWidth="true" hidden="false" outlineLevel="0" max="4" min="4" style="1" width="16"/>
    <col collapsed="false" customWidth="true" hidden="false" outlineLevel="0" max="5" min="5" style="1" width="14"/>
    <col collapsed="false" customWidth="true" hidden="false" outlineLevel="0" max="6" min="6" style="1" width="18"/>
    <col collapsed="false" customWidth="true" hidden="false" outlineLevel="0" max="7" min="7" style="1" width="17"/>
    <col collapsed="false" customWidth="true" hidden="false" outlineLevel="0" max="8" min="8" style="1" width="12"/>
  </cols>
  <sheetData>
    <row r="1" customFormat="false" ht="15" hidden="false" customHeight="true" outlineLevel="0" collapsed="false">
      <c r="A1" s="93" t="s">
        <v>754</v>
      </c>
    </row>
    <row r="2" customFormat="false" ht="54" hidden="false" customHeight="true" outlineLevel="0" collapsed="false">
      <c r="A2" s="94" t="s">
        <v>755</v>
      </c>
    </row>
    <row r="4" customFormat="false" ht="21.75" hidden="false" customHeight="true" outlineLevel="0" collapsed="false">
      <c r="A4" s="95" t="s">
        <v>756</v>
      </c>
      <c r="B4" s="95" t="s">
        <v>757</v>
      </c>
      <c r="C4" s="95" t="s">
        <v>758</v>
      </c>
      <c r="D4" s="95" t="s">
        <v>759</v>
      </c>
      <c r="E4" s="95" t="s">
        <v>760</v>
      </c>
      <c r="F4" s="95" t="s">
        <v>761</v>
      </c>
      <c r="G4" s="95" t="s">
        <v>762</v>
      </c>
      <c r="H4" s="95" t="s">
        <v>763</v>
      </c>
    </row>
    <row r="5" customFormat="false" ht="15" hidden="false" customHeight="true" outlineLevel="0" collapsed="false">
      <c r="A5" s="96" t="s">
        <v>764</v>
      </c>
      <c r="B5" s="96" t="s">
        <v>765</v>
      </c>
      <c r="C5" s="96" t="n">
        <v>2721600</v>
      </c>
      <c r="D5" s="97" t="n">
        <v>1.3125</v>
      </c>
      <c r="E5" s="96" t="n">
        <v>237.06</v>
      </c>
      <c r="F5" s="98" t="n">
        <v>0.015</v>
      </c>
      <c r="G5" s="99" t="n">
        <v>1.35</v>
      </c>
      <c r="H5" s="96" t="n">
        <v>982</v>
      </c>
    </row>
    <row r="6" customFormat="false" ht="15" hidden="false" customHeight="true" outlineLevel="0" collapsed="false">
      <c r="A6" s="66" t="s">
        <v>766</v>
      </c>
      <c r="B6" s="66" t="s">
        <v>767</v>
      </c>
      <c r="C6" s="66" t="n">
        <v>2073600</v>
      </c>
      <c r="D6" s="100" t="n">
        <v>1</v>
      </c>
      <c r="E6" s="66" t="n">
        <v>180.62</v>
      </c>
      <c r="F6" s="101" t="n">
        <v>0.25</v>
      </c>
      <c r="G6" s="102" t="n">
        <v>1</v>
      </c>
      <c r="H6" s="66" t="n">
        <v>727</v>
      </c>
    </row>
    <row r="7" customFormat="false" ht="15" hidden="false" customHeight="true" outlineLevel="0" collapsed="false">
      <c r="A7" s="66" t="s">
        <v>768</v>
      </c>
      <c r="B7" s="66" t="s">
        <v>769</v>
      </c>
      <c r="C7" s="66" t="n">
        <v>1555200</v>
      </c>
      <c r="D7" s="100" t="n">
        <v>0.75</v>
      </c>
      <c r="E7" s="66" t="n">
        <v>135.46</v>
      </c>
      <c r="F7" s="101" t="n">
        <v>0.437</v>
      </c>
      <c r="G7" s="102" t="n">
        <v>1</v>
      </c>
      <c r="H7" s="66" t="n">
        <v>727</v>
      </c>
    </row>
    <row r="8" customFormat="false" ht="15" hidden="false" customHeight="true" outlineLevel="0" collapsed="false">
      <c r="A8" s="66" t="s">
        <v>770</v>
      </c>
      <c r="B8" s="66" t="s">
        <v>771</v>
      </c>
      <c r="C8" s="66" t="n">
        <v>1555200</v>
      </c>
      <c r="D8" s="100" t="n">
        <v>0.75</v>
      </c>
      <c r="E8" s="66" t="n">
        <v>135.46</v>
      </c>
      <c r="F8" s="101" t="n">
        <v>0.437</v>
      </c>
      <c r="G8" s="102" t="n">
        <v>1</v>
      </c>
      <c r="H8" s="66" t="n">
        <v>727</v>
      </c>
    </row>
    <row r="9" customFormat="false" ht="15" hidden="false" customHeight="true" outlineLevel="0" collapsed="false">
      <c r="A9" s="66" t="s">
        <v>772</v>
      </c>
      <c r="B9" s="66" t="s">
        <v>773</v>
      </c>
      <c r="C9" s="66" t="n">
        <v>1166400</v>
      </c>
      <c r="D9" s="100" t="n">
        <v>0.5625</v>
      </c>
      <c r="E9" s="66" t="n">
        <v>101.6</v>
      </c>
      <c r="F9" s="101" t="n">
        <v>0.578</v>
      </c>
      <c r="G9" s="102" t="n">
        <v>1</v>
      </c>
      <c r="H9" s="66" t="n">
        <v>727</v>
      </c>
    </row>
    <row r="10" customFormat="false" ht="15" hidden="false" customHeight="true" outlineLevel="0" collapsed="false">
      <c r="A10" s="66" t="s">
        <v>774</v>
      </c>
      <c r="B10" s="66" t="s">
        <v>775</v>
      </c>
      <c r="C10" s="66" t="n">
        <v>656640</v>
      </c>
      <c r="D10" s="100" t="n">
        <v>0.3167</v>
      </c>
      <c r="E10" s="66" t="n">
        <v>57.19</v>
      </c>
      <c r="F10" s="101" t="n">
        <v>0.762</v>
      </c>
      <c r="G10" s="102" t="n">
        <v>1</v>
      </c>
      <c r="H10" s="66" t="n">
        <v>727</v>
      </c>
    </row>
    <row r="12" customFormat="false" ht="15" hidden="false" customHeight="true" outlineLevel="0" collapsed="false">
      <c r="A12" s="103" t="s">
        <v>776</v>
      </c>
    </row>
    <row r="13" customFormat="false" ht="15.75" hidden="false" customHeight="true" outlineLevel="0" collapsed="false">
      <c r="A13" s="104" t="s">
        <v>777</v>
      </c>
    </row>
    <row r="14" customFormat="false" ht="30" hidden="false" customHeight="true" outlineLevel="0" collapsed="false">
      <c r="A14" s="104" t="s">
        <v>778</v>
      </c>
    </row>
    <row r="15" customFormat="false" ht="15.75" hidden="false" customHeight="true" outlineLevel="0" collapsed="false">
      <c r="A15" s="104" t="s">
        <v>779</v>
      </c>
    </row>
    <row r="16" customFormat="false" ht="30" hidden="false" customHeight="true" outlineLevel="0" collapsed="false">
      <c r="A16" s="104" t="s">
        <v>780</v>
      </c>
    </row>
    <row r="18" customFormat="false" ht="15" hidden="false" customHeight="true" outlineLevel="0" collapsed="false">
      <c r="A18" s="103" t="s">
        <v>781</v>
      </c>
    </row>
    <row r="19" customFormat="false" ht="25.5" hidden="false" customHeight="true" outlineLevel="0" collapsed="false">
      <c r="A19" s="104" t="s">
        <v>782</v>
      </c>
    </row>
    <row r="20" customFormat="false" ht="25.5" hidden="false" customHeight="true" outlineLevel="0" collapsed="false">
      <c r="A20" s="104" t="s">
        <v>783</v>
      </c>
    </row>
    <row r="21" customFormat="false" ht="25.5" hidden="false" customHeight="true" outlineLevel="0" collapsed="false">
      <c r="A21" s="104" t="s">
        <v>784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7"/>
    <col collapsed="false" customWidth="true" hidden="false" outlineLevel="0" max="4" min="4" style="1" width="16"/>
    <col collapsed="false" customWidth="true" hidden="false" outlineLevel="0" max="5" min="5" style="1" width="13"/>
    <col collapsed="false" customWidth="true" hidden="false" outlineLevel="0" max="6" min="6" style="1" width="8"/>
    <col collapsed="false" customWidth="true" hidden="false" outlineLevel="0" max="7" min="7" style="1" width="46"/>
    <col collapsed="false" customWidth="true" hidden="false" outlineLevel="0" max="8" min="8" style="1" width="18"/>
    <col collapsed="false" customWidth="true" hidden="false" outlineLevel="0" max="9" min="9" style="1" width="30"/>
  </cols>
  <sheetData>
    <row r="1" customFormat="false" ht="15" hidden="false" customHeight="true" outlineLevel="0" collapsed="false">
      <c r="A1" s="93" t="s">
        <v>785</v>
      </c>
    </row>
    <row r="2" customFormat="false" ht="66" hidden="false" customHeight="true" outlineLevel="0" collapsed="false">
      <c r="A2" s="94" t="s">
        <v>786</v>
      </c>
    </row>
    <row r="4" customFormat="false" ht="21.75" hidden="false" customHeight="true" outlineLevel="0" collapsed="false">
      <c r="A4" s="105" t="s">
        <v>787</v>
      </c>
      <c r="B4" s="95" t="s">
        <v>788</v>
      </c>
      <c r="C4" s="95" t="s">
        <v>789</v>
      </c>
      <c r="D4" s="95" t="s">
        <v>790</v>
      </c>
      <c r="E4" s="95" t="s">
        <v>791</v>
      </c>
      <c r="F4" s="95" t="s">
        <v>792</v>
      </c>
      <c r="G4" s="95" t="s">
        <v>793</v>
      </c>
      <c r="H4" s="95" t="s">
        <v>794</v>
      </c>
      <c r="I4" s="95" t="s">
        <v>795</v>
      </c>
    </row>
    <row r="5" customFormat="false" ht="30" hidden="false" customHeight="true" outlineLevel="0" collapsed="false">
      <c r="A5" s="104" t="s">
        <v>796</v>
      </c>
      <c r="B5" s="104" t="s">
        <v>797</v>
      </c>
      <c r="C5" s="104" t="n">
        <v>35.2</v>
      </c>
      <c r="D5" s="104" t="n">
        <v>142</v>
      </c>
      <c r="E5" s="104" t="n">
        <v>145</v>
      </c>
      <c r="F5" s="104" t="s">
        <v>798</v>
      </c>
      <c r="G5" s="104" t="s">
        <v>799</v>
      </c>
      <c r="H5" s="104" t="s">
        <v>800</v>
      </c>
      <c r="I5" s="106" t="s">
        <v>801</v>
      </c>
    </row>
    <row r="6" customFormat="false" ht="30" hidden="false" customHeight="true" outlineLevel="0" collapsed="false">
      <c r="A6" s="104" t="s">
        <v>802</v>
      </c>
      <c r="B6" s="104" t="s">
        <v>797</v>
      </c>
      <c r="C6" s="104" t="n">
        <v>76.1</v>
      </c>
      <c r="D6" s="104" t="n">
        <v>307</v>
      </c>
      <c r="E6" s="104" t="n">
        <v>323</v>
      </c>
      <c r="F6" s="104" t="s">
        <v>803</v>
      </c>
      <c r="G6" s="104" t="s">
        <v>804</v>
      </c>
      <c r="H6" s="104" t="s">
        <v>805</v>
      </c>
      <c r="I6" s="106" t="s">
        <v>801</v>
      </c>
    </row>
    <row r="7" customFormat="false" ht="30" hidden="false" customHeight="true" outlineLevel="0" collapsed="false">
      <c r="A7" s="104" t="s">
        <v>806</v>
      </c>
      <c r="B7" s="104" t="s">
        <v>168</v>
      </c>
      <c r="C7" s="104" t="n">
        <v>180.5</v>
      </c>
      <c r="D7" s="104" t="n">
        <v>727</v>
      </c>
      <c r="E7" s="104" t="n">
        <v>776</v>
      </c>
      <c r="F7" s="104" t="s">
        <v>807</v>
      </c>
      <c r="G7" s="104" t="s">
        <v>808</v>
      </c>
      <c r="H7" s="104" t="s">
        <v>809</v>
      </c>
      <c r="I7" s="106" t="s">
        <v>801</v>
      </c>
    </row>
    <row r="8" customFormat="false" ht="30" hidden="false" customHeight="true" outlineLevel="0" collapsed="false">
      <c r="A8" s="104" t="s">
        <v>810</v>
      </c>
      <c r="B8" s="104" t="s">
        <v>811</v>
      </c>
      <c r="C8" s="104" t="n">
        <v>402.5</v>
      </c>
      <c r="D8" s="104" t="n">
        <v>1621</v>
      </c>
      <c r="E8" s="104" t="n">
        <v>2183</v>
      </c>
      <c r="F8" s="104" t="s">
        <v>812</v>
      </c>
      <c r="G8" s="104" t="s">
        <v>813</v>
      </c>
      <c r="H8" s="104" t="s">
        <v>814</v>
      </c>
      <c r="I8" s="106" t="s">
        <v>801</v>
      </c>
    </row>
    <row r="9" customFormat="false" ht="30" hidden="false" customHeight="true" outlineLevel="0" collapsed="false">
      <c r="A9" s="104" t="s">
        <v>815</v>
      </c>
    </row>
    <row r="10" customFormat="false" ht="30" hidden="false" customHeight="true" outlineLevel="0" collapsed="false">
      <c r="A10" s="107" t="s">
        <v>816</v>
      </c>
    </row>
    <row r="12" customFormat="false" ht="15" hidden="false" customHeight="true" outlineLevel="0" collapsed="false">
      <c r="A12" s="108" t="s">
        <v>817</v>
      </c>
    </row>
    <row r="13" customFormat="false" ht="189.75" hidden="false" customHeight="true" outlineLevel="0" collapsed="false">
      <c r="A13" s="104" t="s">
        <v>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32"/>
    <col collapsed="false" customWidth="true" hidden="false" outlineLevel="0" max="4" min="3" style="1" width="7"/>
    <col collapsed="false" customWidth="true" hidden="false" outlineLevel="0" max="5" min="5" style="1" width="8"/>
    <col collapsed="false" customWidth="true" hidden="false" outlineLevel="0" max="6" min="6" style="1" width="54"/>
    <col collapsed="false" customWidth="true" hidden="false" outlineLevel="0" max="7" min="7" style="1" width="26"/>
    <col collapsed="false" customWidth="true" hidden="false" outlineLevel="0" max="8" min="8" style="1" width="20"/>
    <col collapsed="false" customWidth="true" hidden="false" outlineLevel="0" max="9" min="9" style="1" width="12"/>
  </cols>
  <sheetData>
    <row r="1" customFormat="false" ht="15" hidden="false" customHeight="true" outlineLevel="0" collapsed="false">
      <c r="A1" s="93" t="s">
        <v>819</v>
      </c>
    </row>
    <row r="2" customFormat="false" ht="39.75" hidden="false" customHeight="true" outlineLevel="0" collapsed="false">
      <c r="A2" s="94" t="s">
        <v>820</v>
      </c>
    </row>
    <row r="4" customFormat="false" ht="15" hidden="false" customHeight="true" outlineLevel="0" collapsed="false">
      <c r="A4" s="95" t="s">
        <v>821</v>
      </c>
      <c r="B4" s="95" t="s">
        <v>822</v>
      </c>
      <c r="C4" s="95" t="s">
        <v>823</v>
      </c>
      <c r="D4" s="95" t="s">
        <v>824</v>
      </c>
      <c r="E4" s="95" t="s">
        <v>825</v>
      </c>
      <c r="F4" s="95" t="s">
        <v>826</v>
      </c>
      <c r="G4" s="95" t="s">
        <v>827</v>
      </c>
      <c r="H4" s="95" t="s">
        <v>828</v>
      </c>
      <c r="I4" s="95" t="s">
        <v>829</v>
      </c>
    </row>
    <row r="5" customFormat="false" ht="30" hidden="false" customHeight="true" outlineLevel="0" collapsed="false">
      <c r="A5" s="104" t="s">
        <v>830</v>
      </c>
      <c r="B5" s="104" t="s">
        <v>173</v>
      </c>
      <c r="C5" s="104" t="n">
        <v>564</v>
      </c>
      <c r="D5" s="104" t="n">
        <v>145</v>
      </c>
      <c r="E5" s="104" t="s">
        <v>831</v>
      </c>
      <c r="F5" s="104" t="s">
        <v>832</v>
      </c>
      <c r="G5" s="104" t="s">
        <v>833</v>
      </c>
      <c r="H5" s="109" t="s">
        <v>834</v>
      </c>
      <c r="I5" s="104"/>
    </row>
    <row r="6" customFormat="false" ht="30" hidden="false" customHeight="true" outlineLevel="0" collapsed="false">
      <c r="A6" s="104" t="s">
        <v>830</v>
      </c>
      <c r="B6" s="104" t="s">
        <v>171</v>
      </c>
      <c r="C6" s="104" t="n">
        <v>564</v>
      </c>
      <c r="D6" s="104" t="n">
        <v>323</v>
      </c>
      <c r="E6" s="104" t="s">
        <v>835</v>
      </c>
      <c r="F6" s="104" t="s">
        <v>836</v>
      </c>
      <c r="G6" s="104" t="s">
        <v>833</v>
      </c>
      <c r="H6" s="109" t="s">
        <v>834</v>
      </c>
      <c r="I6" s="104"/>
    </row>
    <row r="7" customFormat="false" ht="30" hidden="false" customHeight="true" outlineLevel="0" collapsed="false">
      <c r="A7" s="104" t="s">
        <v>830</v>
      </c>
      <c r="B7" s="104" t="s">
        <v>175</v>
      </c>
      <c r="C7" s="104" t="n">
        <v>183</v>
      </c>
      <c r="D7" s="104" t="n">
        <v>118</v>
      </c>
      <c r="E7" s="104" t="s">
        <v>837</v>
      </c>
      <c r="F7" s="104" t="s">
        <v>838</v>
      </c>
      <c r="G7" s="104" t="s">
        <v>833</v>
      </c>
      <c r="H7" s="109" t="s">
        <v>834</v>
      </c>
      <c r="I7" s="104"/>
    </row>
    <row r="8" customFormat="false" ht="30" hidden="false" customHeight="true" outlineLevel="0" collapsed="false">
      <c r="A8" s="104" t="s">
        <v>830</v>
      </c>
      <c r="B8" s="104" t="s">
        <v>183</v>
      </c>
      <c r="C8" s="104" t="n">
        <v>251</v>
      </c>
      <c r="D8" s="104" t="n">
        <v>163</v>
      </c>
      <c r="E8" s="104" t="s">
        <v>839</v>
      </c>
      <c r="F8" s="104" t="s">
        <v>840</v>
      </c>
      <c r="G8" s="104" t="s">
        <v>833</v>
      </c>
      <c r="H8" s="109" t="s">
        <v>834</v>
      </c>
      <c r="I8" s="104"/>
    </row>
    <row r="9" customFormat="false" ht="30" hidden="false" customHeight="true" outlineLevel="0" collapsed="false">
      <c r="A9" s="104" t="s">
        <v>830</v>
      </c>
      <c r="B9" s="104" t="s">
        <v>185</v>
      </c>
      <c r="C9" s="104" t="n">
        <v>251</v>
      </c>
      <c r="D9" s="104" t="n">
        <v>244</v>
      </c>
      <c r="E9" s="104" t="s">
        <v>841</v>
      </c>
      <c r="F9" s="104" t="s">
        <v>842</v>
      </c>
      <c r="G9" s="104" t="s">
        <v>833</v>
      </c>
      <c r="H9" s="109" t="s">
        <v>834</v>
      </c>
      <c r="I9" s="104"/>
    </row>
    <row r="10" customFormat="false" ht="30" hidden="false" customHeight="true" outlineLevel="0" collapsed="false">
      <c r="A10" s="104" t="s">
        <v>830</v>
      </c>
      <c r="B10" s="104" t="s">
        <v>194</v>
      </c>
      <c r="C10" s="104" t="n">
        <v>41</v>
      </c>
      <c r="D10" s="104" t="n">
        <v>26</v>
      </c>
      <c r="E10" s="104" t="s">
        <v>843</v>
      </c>
      <c r="F10" s="104" t="s">
        <v>844</v>
      </c>
      <c r="G10" s="104" t="s">
        <v>833</v>
      </c>
      <c r="H10" s="109" t="s">
        <v>834</v>
      </c>
      <c r="I10" s="104"/>
    </row>
    <row r="11" customFormat="false" ht="30" hidden="false" customHeight="true" outlineLevel="0" collapsed="false">
      <c r="A11" s="104" t="s">
        <v>830</v>
      </c>
      <c r="B11" s="104" t="s">
        <v>176</v>
      </c>
      <c r="C11" s="104" t="n">
        <v>226</v>
      </c>
      <c r="D11" s="104" t="n">
        <v>212</v>
      </c>
      <c r="E11" s="104" t="s">
        <v>807</v>
      </c>
      <c r="F11" s="104" t="s">
        <v>845</v>
      </c>
      <c r="G11" s="104" t="s">
        <v>833</v>
      </c>
      <c r="H11" s="109" t="s">
        <v>834</v>
      </c>
      <c r="I11" s="104"/>
    </row>
    <row r="12" customFormat="false" ht="30" hidden="false" customHeight="true" outlineLevel="0" collapsed="false">
      <c r="A12" s="104" t="s">
        <v>830</v>
      </c>
      <c r="B12" s="104" t="s">
        <v>846</v>
      </c>
      <c r="C12" s="104" t="n">
        <v>29</v>
      </c>
      <c r="D12" s="104" t="n">
        <v>31</v>
      </c>
      <c r="E12" s="104" t="s">
        <v>847</v>
      </c>
      <c r="F12" s="104" t="s">
        <v>848</v>
      </c>
      <c r="G12" s="104" t="s">
        <v>849</v>
      </c>
      <c r="H12" s="110" t="s">
        <v>850</v>
      </c>
      <c r="I12" s="104"/>
    </row>
    <row r="13" customFormat="false" ht="30" hidden="false" customHeight="true" outlineLevel="0" collapsed="false">
      <c r="A13" s="104" t="s">
        <v>830</v>
      </c>
      <c r="B13" s="104" t="s">
        <v>195</v>
      </c>
      <c r="C13" s="104" t="n">
        <v>273</v>
      </c>
      <c r="D13" s="104" t="n">
        <v>257</v>
      </c>
      <c r="E13" s="104" t="s">
        <v>807</v>
      </c>
      <c r="F13" s="104" t="s">
        <v>851</v>
      </c>
      <c r="G13" s="104" t="s">
        <v>852</v>
      </c>
      <c r="H13" s="109" t="s">
        <v>853</v>
      </c>
      <c r="I13" s="104"/>
    </row>
    <row r="14" customFormat="false" ht="30" hidden="false" customHeight="true" outlineLevel="0" collapsed="false">
      <c r="A14" s="104" t="s">
        <v>830</v>
      </c>
      <c r="B14" s="104" t="s">
        <v>345</v>
      </c>
      <c r="C14" s="104" t="n">
        <v>13</v>
      </c>
      <c r="D14" s="104" t="n">
        <v>11</v>
      </c>
      <c r="E14" s="104" t="s">
        <v>854</v>
      </c>
      <c r="F14" s="104" t="s">
        <v>855</v>
      </c>
      <c r="G14" s="104" t="s">
        <v>856</v>
      </c>
      <c r="H14" s="106" t="s">
        <v>857</v>
      </c>
      <c r="I14" s="104"/>
    </row>
    <row r="15" customFormat="false" ht="30" hidden="false" customHeight="true" outlineLevel="0" collapsed="false">
      <c r="A15" s="104" t="s">
        <v>830</v>
      </c>
      <c r="B15" s="104" t="s">
        <v>207</v>
      </c>
      <c r="C15" s="104" t="n">
        <v>23</v>
      </c>
      <c r="D15" s="104" t="n">
        <v>17</v>
      </c>
      <c r="E15" s="104" t="s">
        <v>812</v>
      </c>
      <c r="F15" s="104" t="s">
        <v>858</v>
      </c>
      <c r="G15" s="104" t="s">
        <v>859</v>
      </c>
      <c r="H15" s="106" t="s">
        <v>857</v>
      </c>
      <c r="I15" s="104"/>
    </row>
    <row r="16" customFormat="false" ht="30" hidden="false" customHeight="true" outlineLevel="0" collapsed="false">
      <c r="A16" s="104" t="s">
        <v>830</v>
      </c>
      <c r="B16" s="104" t="s">
        <v>239</v>
      </c>
      <c r="C16" s="104" t="n">
        <v>27</v>
      </c>
      <c r="D16" s="104" t="n">
        <v>23</v>
      </c>
      <c r="E16" s="104" t="s">
        <v>854</v>
      </c>
      <c r="F16" s="104" t="s">
        <v>860</v>
      </c>
      <c r="G16" s="104" t="s">
        <v>859</v>
      </c>
      <c r="H16" s="106" t="s">
        <v>861</v>
      </c>
      <c r="I16" s="104"/>
    </row>
    <row r="17" customFormat="false" ht="30" hidden="false" customHeight="true" outlineLevel="0" collapsed="false">
      <c r="A17" s="104" t="s">
        <v>830</v>
      </c>
      <c r="B17" s="104" t="s">
        <v>241</v>
      </c>
      <c r="C17" s="104" t="n">
        <v>32</v>
      </c>
      <c r="D17" s="104" t="n">
        <v>28</v>
      </c>
      <c r="E17" s="104" t="s">
        <v>862</v>
      </c>
      <c r="F17" s="104" t="s">
        <v>863</v>
      </c>
      <c r="G17" s="104" t="s">
        <v>859</v>
      </c>
      <c r="H17" s="106" t="s">
        <v>861</v>
      </c>
      <c r="I17" s="104"/>
    </row>
    <row r="18" customFormat="false" ht="30" hidden="false" customHeight="true" outlineLevel="0" collapsed="false">
      <c r="A18" s="104" t="s">
        <v>830</v>
      </c>
      <c r="B18" s="104" t="s">
        <v>210</v>
      </c>
      <c r="C18" s="104" t="n">
        <v>11</v>
      </c>
      <c r="D18" s="104" t="n">
        <v>9</v>
      </c>
      <c r="E18" s="104" t="s">
        <v>864</v>
      </c>
      <c r="F18" s="104" t="s">
        <v>865</v>
      </c>
      <c r="G18" s="104" t="s">
        <v>859</v>
      </c>
      <c r="H18" s="106" t="s">
        <v>857</v>
      </c>
      <c r="I18" s="104"/>
    </row>
    <row r="19" customFormat="false" ht="30" hidden="false" customHeight="true" outlineLevel="0" collapsed="false">
      <c r="A19" s="104" t="s">
        <v>830</v>
      </c>
      <c r="B19" s="104" t="s">
        <v>866</v>
      </c>
      <c r="C19" s="104" t="n">
        <v>284</v>
      </c>
      <c r="D19" s="104" t="n">
        <v>212</v>
      </c>
      <c r="E19" s="104" t="s">
        <v>867</v>
      </c>
      <c r="F19" s="104" t="s">
        <v>868</v>
      </c>
      <c r="G19" s="104" t="s">
        <v>869</v>
      </c>
      <c r="H19" s="109" t="s">
        <v>870</v>
      </c>
      <c r="I19" s="104"/>
    </row>
    <row r="20" customFormat="false" ht="30" hidden="false" customHeight="true" outlineLevel="0" collapsed="false">
      <c r="A20" s="104" t="s">
        <v>830</v>
      </c>
      <c r="B20" s="104" t="s">
        <v>871</v>
      </c>
      <c r="C20" s="104" t="n">
        <v>365</v>
      </c>
      <c r="D20" s="104" t="s">
        <v>872</v>
      </c>
      <c r="E20" s="104" t="s">
        <v>151</v>
      </c>
      <c r="F20" s="104" t="s">
        <v>873</v>
      </c>
      <c r="G20" s="104" t="s">
        <v>869</v>
      </c>
      <c r="H20" s="109" t="s">
        <v>870</v>
      </c>
      <c r="I20" s="104"/>
    </row>
    <row r="21" customFormat="false" ht="43.5" hidden="false" customHeight="true" outlineLevel="0" collapsed="false">
      <c r="A21" s="104" t="s">
        <v>830</v>
      </c>
      <c r="B21" s="104" t="s">
        <v>194</v>
      </c>
      <c r="C21" s="104" t="n">
        <v>26</v>
      </c>
      <c r="D21" s="104" t="n">
        <v>37</v>
      </c>
      <c r="E21" s="104" t="s">
        <v>874</v>
      </c>
      <c r="F21" s="104" t="s">
        <v>875</v>
      </c>
      <c r="G21" s="104" t="s">
        <v>876</v>
      </c>
      <c r="H21" s="110" t="s">
        <v>850</v>
      </c>
      <c r="I21" s="104"/>
    </row>
    <row r="22" customFormat="false" ht="43.5" hidden="false" customHeight="true" outlineLevel="0" collapsed="false">
      <c r="A22" s="109" t="s">
        <v>830</v>
      </c>
      <c r="B22" s="104" t="s">
        <v>190</v>
      </c>
      <c r="C22" s="104" t="n">
        <v>41</v>
      </c>
      <c r="D22" s="104" t="n">
        <v>69</v>
      </c>
      <c r="E22" s="104" t="s">
        <v>877</v>
      </c>
      <c r="F22" s="104" t="s">
        <v>878</v>
      </c>
      <c r="G22" s="104" t="s">
        <v>876</v>
      </c>
      <c r="H22" s="110" t="s">
        <v>850</v>
      </c>
      <c r="I22" s="104"/>
    </row>
    <row r="23" customFormat="false" ht="15" hidden="false" customHeight="true" outlineLevel="0" collapsed="false">
      <c r="B23" s="66" t="s">
        <v>162</v>
      </c>
      <c r="D23" s="66" t="s">
        <v>879</v>
      </c>
    </row>
    <row r="24" customFormat="false" ht="15" hidden="false" customHeight="true" outlineLevel="0" collapsed="false">
      <c r="B24" s="66" t="s">
        <v>880</v>
      </c>
      <c r="D24" s="66" t="s">
        <v>881</v>
      </c>
    </row>
    <row r="25" customFormat="false" ht="15" hidden="false" customHeight="true" outlineLevel="0" collapsed="false">
      <c r="B25" s="66" t="s">
        <v>882</v>
      </c>
      <c r="D25" s="66" t="s">
        <v>883</v>
      </c>
    </row>
    <row r="26" customFormat="false" ht="15" hidden="false" customHeight="true" outlineLevel="0" collapsed="false">
      <c r="B26" s="66" t="s">
        <v>884</v>
      </c>
      <c r="D26" s="66" t="s">
        <v>885</v>
      </c>
    </row>
    <row r="27" customFormat="false" ht="15" hidden="false" customHeight="true" outlineLevel="0" collapsed="false">
      <c r="B27" s="66" t="s">
        <v>886</v>
      </c>
      <c r="D27" s="66" t="s">
        <v>885</v>
      </c>
    </row>
    <row r="28" customFormat="false" ht="15" hidden="false" customHeight="true" outlineLevel="0" collapsed="false">
      <c r="B28" s="66" t="s">
        <v>887</v>
      </c>
      <c r="D28" s="66" t="s">
        <v>888</v>
      </c>
    </row>
    <row r="29" customFormat="false" ht="15" hidden="false" customHeight="true" outlineLevel="0" collapsed="false">
      <c r="B29" s="66" t="s">
        <v>889</v>
      </c>
      <c r="D29" s="66" t="s">
        <v>890</v>
      </c>
    </row>
    <row r="30" customFormat="false" ht="15" hidden="false" customHeight="true" outlineLevel="0" collapsed="false">
      <c r="B30" s="66" t="s">
        <v>891</v>
      </c>
      <c r="D30" s="66" t="s">
        <v>892</v>
      </c>
    </row>
    <row r="31" customFormat="false" ht="15" hidden="false" customHeight="true" outlineLevel="0" collapsed="false">
      <c r="B31" s="66" t="s">
        <v>893</v>
      </c>
      <c r="D31" s="66" t="s">
        <v>894</v>
      </c>
    </row>
    <row r="32" customFormat="false" ht="45.75" hidden="false" customHeight="true" outlineLevel="0" collapsed="false">
      <c r="A32" s="104" t="s">
        <v>830</v>
      </c>
      <c r="B32" s="104" t="s">
        <v>148</v>
      </c>
      <c r="C32" s="104" t="n">
        <v>895</v>
      </c>
      <c r="D32" s="104" t="n">
        <v>597</v>
      </c>
      <c r="E32" s="104" t="s">
        <v>895</v>
      </c>
      <c r="F32" s="104" t="s">
        <v>896</v>
      </c>
      <c r="G32" s="104" t="s">
        <v>897</v>
      </c>
      <c r="H32" s="110" t="s">
        <v>898</v>
      </c>
      <c r="I32" s="104"/>
    </row>
    <row r="33" customFormat="false" ht="45.75" hidden="false" customHeight="true" outlineLevel="0" collapsed="false">
      <c r="A33" s="104" t="s">
        <v>830</v>
      </c>
      <c r="B33" s="104" t="s">
        <v>157</v>
      </c>
      <c r="C33" s="104" t="n">
        <v>913</v>
      </c>
      <c r="D33" s="104" t="n">
        <v>597</v>
      </c>
      <c r="E33" s="104" t="s">
        <v>839</v>
      </c>
      <c r="F33" s="104" t="s">
        <v>896</v>
      </c>
      <c r="G33" s="104" t="s">
        <v>897</v>
      </c>
      <c r="H33" s="110" t="s">
        <v>898</v>
      </c>
      <c r="I33" s="104"/>
    </row>
    <row r="34" customFormat="false" ht="45.75" hidden="false" customHeight="true" outlineLevel="0" collapsed="false">
      <c r="A34" s="104" t="s">
        <v>830</v>
      </c>
      <c r="B34" s="104" t="s">
        <v>158</v>
      </c>
      <c r="C34" s="104" t="n">
        <v>215</v>
      </c>
      <c r="D34" s="104" t="n">
        <v>122</v>
      </c>
      <c r="E34" s="104" t="s">
        <v>835</v>
      </c>
      <c r="F34" s="104" t="s">
        <v>896</v>
      </c>
      <c r="G34" s="104" t="s">
        <v>897</v>
      </c>
      <c r="H34" s="110" t="s">
        <v>898</v>
      </c>
      <c r="I34" s="104"/>
    </row>
    <row r="35" customFormat="false" ht="45.75" hidden="false" customHeight="true" outlineLevel="0" collapsed="false">
      <c r="A35" s="104" t="s">
        <v>830</v>
      </c>
      <c r="B35" s="104" t="s">
        <v>159</v>
      </c>
      <c r="C35" s="104" t="n">
        <v>233</v>
      </c>
      <c r="D35" s="104" t="n">
        <v>132</v>
      </c>
      <c r="E35" s="104" t="s">
        <v>835</v>
      </c>
      <c r="F35" s="104" t="s">
        <v>896</v>
      </c>
      <c r="G35" s="104" t="s">
        <v>897</v>
      </c>
      <c r="H35" s="110" t="s">
        <v>898</v>
      </c>
      <c r="I35" s="104"/>
    </row>
    <row r="36" customFormat="false" ht="45.75" hidden="false" customHeight="true" outlineLevel="0" collapsed="false">
      <c r="A36" s="104" t="s">
        <v>830</v>
      </c>
      <c r="B36" s="104" t="s">
        <v>160</v>
      </c>
      <c r="C36" s="104" t="n">
        <v>108</v>
      </c>
      <c r="D36" s="104" t="n">
        <v>66</v>
      </c>
      <c r="E36" s="104" t="s">
        <v>899</v>
      </c>
      <c r="F36" s="104" t="s">
        <v>896</v>
      </c>
      <c r="G36" s="104" t="s">
        <v>897</v>
      </c>
      <c r="H36" s="110" t="s">
        <v>898</v>
      </c>
      <c r="I36" s="104"/>
    </row>
    <row r="37" customFormat="false" ht="45.75" hidden="false" customHeight="true" outlineLevel="0" collapsed="false">
      <c r="A37" s="104" t="s">
        <v>830</v>
      </c>
      <c r="B37" s="104" t="s">
        <v>161</v>
      </c>
      <c r="C37" s="104" t="n">
        <v>126</v>
      </c>
      <c r="D37" s="104" t="n">
        <v>71</v>
      </c>
      <c r="E37" s="104" t="s">
        <v>900</v>
      </c>
      <c r="F37" s="104" t="s">
        <v>896</v>
      </c>
      <c r="G37" s="104" t="s">
        <v>897</v>
      </c>
      <c r="H37" s="110" t="s">
        <v>898</v>
      </c>
      <c r="I37" s="104"/>
    </row>
    <row r="38" customFormat="false" ht="39.75" hidden="false" customHeight="true" outlineLevel="0" collapsed="false">
      <c r="A38" s="104" t="s">
        <v>830</v>
      </c>
      <c r="B38" s="104" t="s">
        <v>901</v>
      </c>
      <c r="C38" s="104" t="n">
        <v>446</v>
      </c>
      <c r="D38" s="104" t="n">
        <v>679</v>
      </c>
      <c r="E38" s="104" t="s">
        <v>902</v>
      </c>
      <c r="F38" s="104" t="s">
        <v>903</v>
      </c>
      <c r="G38" s="104" t="s">
        <v>904</v>
      </c>
      <c r="H38" s="110" t="s">
        <v>905</v>
      </c>
      <c r="I38" s="104"/>
    </row>
    <row r="39" customFormat="false" ht="39.75" hidden="false" customHeight="true" outlineLevel="0" collapsed="false">
      <c r="A39" s="104" t="s">
        <v>830</v>
      </c>
      <c r="B39" s="104" t="s">
        <v>273</v>
      </c>
      <c r="C39" s="104" t="n">
        <v>136</v>
      </c>
      <c r="D39" s="104" t="n">
        <v>142</v>
      </c>
      <c r="E39" s="104" t="s">
        <v>906</v>
      </c>
      <c r="F39" s="104" t="s">
        <v>907</v>
      </c>
      <c r="G39" s="104" t="s">
        <v>904</v>
      </c>
      <c r="H39" s="110" t="s">
        <v>905</v>
      </c>
      <c r="I39" s="104"/>
    </row>
    <row r="40" customFormat="false" ht="39.75" hidden="false" customHeight="true" outlineLevel="0" collapsed="false">
      <c r="A40" s="104" t="s">
        <v>830</v>
      </c>
      <c r="B40" s="104" t="s">
        <v>908</v>
      </c>
      <c r="C40" s="104" t="n">
        <v>284</v>
      </c>
      <c r="D40" s="104" t="n">
        <v>274</v>
      </c>
      <c r="E40" s="104" t="s">
        <v>909</v>
      </c>
      <c r="F40" s="104" t="s">
        <v>910</v>
      </c>
      <c r="G40" s="104" t="s">
        <v>904</v>
      </c>
      <c r="H40" s="110" t="s">
        <v>905</v>
      </c>
      <c r="I40" s="104"/>
    </row>
    <row r="41" customFormat="false" ht="51.75" hidden="false" customHeight="true" outlineLevel="0" collapsed="false">
      <c r="A41" s="104" t="s">
        <v>830</v>
      </c>
      <c r="B41" s="104" t="s">
        <v>261</v>
      </c>
      <c r="C41" s="104" t="n">
        <v>232</v>
      </c>
      <c r="D41" s="104" t="n">
        <v>145</v>
      </c>
      <c r="E41" s="104" t="s">
        <v>911</v>
      </c>
      <c r="F41" s="104" t="s">
        <v>912</v>
      </c>
      <c r="G41" s="104" t="s">
        <v>913</v>
      </c>
      <c r="H41" s="109" t="s">
        <v>914</v>
      </c>
      <c r="I41" s="104"/>
    </row>
    <row r="42" customFormat="false" ht="51.75" hidden="false" customHeight="true" outlineLevel="0" collapsed="false">
      <c r="A42" s="104" t="s">
        <v>830</v>
      </c>
      <c r="B42" s="104" t="s">
        <v>265</v>
      </c>
      <c r="C42" s="104" t="n">
        <v>507</v>
      </c>
      <c r="D42" s="104" t="n">
        <v>323</v>
      </c>
      <c r="E42" s="104" t="s">
        <v>837</v>
      </c>
      <c r="F42" s="104" t="s">
        <v>912</v>
      </c>
      <c r="G42" s="104" t="s">
        <v>913</v>
      </c>
      <c r="H42" s="109" t="s">
        <v>914</v>
      </c>
      <c r="I42" s="104"/>
    </row>
    <row r="43" customFormat="false" ht="51.75" hidden="false" customHeight="true" outlineLevel="0" collapsed="false">
      <c r="A43" s="104" t="s">
        <v>830</v>
      </c>
      <c r="B43" s="104" t="s">
        <v>266</v>
      </c>
      <c r="C43" s="104" t="n">
        <v>1257</v>
      </c>
      <c r="D43" s="104" t="n">
        <v>776</v>
      </c>
      <c r="E43" s="104" t="s">
        <v>911</v>
      </c>
      <c r="F43" s="104" t="s">
        <v>912</v>
      </c>
      <c r="G43" s="104" t="s">
        <v>913</v>
      </c>
      <c r="H43" s="109" t="s">
        <v>914</v>
      </c>
      <c r="I43" s="104"/>
    </row>
    <row r="44" customFormat="false" ht="51.75" hidden="false" customHeight="true" outlineLevel="0" collapsed="false">
      <c r="A44" s="104" t="s">
        <v>830</v>
      </c>
      <c r="B44" s="104" t="s">
        <v>270</v>
      </c>
      <c r="C44" s="104" t="n">
        <v>183</v>
      </c>
      <c r="D44" s="104" t="n">
        <v>118</v>
      </c>
      <c r="E44" s="104" t="s">
        <v>837</v>
      </c>
      <c r="F44" s="104" t="s">
        <v>912</v>
      </c>
      <c r="G44" s="104" t="s">
        <v>913</v>
      </c>
      <c r="H44" s="109" t="s">
        <v>914</v>
      </c>
      <c r="I44" s="104"/>
    </row>
    <row r="45" customFormat="false" ht="51.75" hidden="false" customHeight="true" outlineLevel="0" collapsed="false">
      <c r="A45" s="104" t="s">
        <v>830</v>
      </c>
      <c r="B45" s="104" t="s">
        <v>272</v>
      </c>
      <c r="C45" s="104" t="n">
        <v>406</v>
      </c>
      <c r="D45" s="104" t="n">
        <v>259</v>
      </c>
      <c r="E45" s="104" t="s">
        <v>837</v>
      </c>
      <c r="F45" s="104" t="s">
        <v>912</v>
      </c>
      <c r="G45" s="104" t="s">
        <v>913</v>
      </c>
      <c r="H45" s="109" t="s">
        <v>914</v>
      </c>
      <c r="I45" s="104"/>
    </row>
    <row r="46" customFormat="false" ht="43.5" hidden="false" customHeight="true" outlineLevel="0" collapsed="false">
      <c r="A46" s="104" t="s">
        <v>830</v>
      </c>
      <c r="B46" s="104" t="s">
        <v>267</v>
      </c>
      <c r="C46" s="104" t="n">
        <v>2595</v>
      </c>
      <c r="D46" s="104" t="n">
        <v>2911</v>
      </c>
      <c r="E46" s="104" t="s">
        <v>915</v>
      </c>
      <c r="F46" s="104" t="s">
        <v>916</v>
      </c>
      <c r="G46" s="104" t="s">
        <v>917</v>
      </c>
      <c r="H46" s="110" t="s">
        <v>918</v>
      </c>
      <c r="I46" s="104"/>
    </row>
    <row r="47" customFormat="false" ht="51.75" hidden="false" customHeight="true" outlineLevel="0" collapsed="false">
      <c r="A47" s="104" t="s">
        <v>919</v>
      </c>
      <c r="B47" s="104" t="s">
        <v>195</v>
      </c>
      <c r="C47" s="104" t="n">
        <v>257</v>
      </c>
      <c r="D47" s="104" t="n">
        <v>273</v>
      </c>
      <c r="E47" s="104" t="s">
        <v>920</v>
      </c>
      <c r="F47" s="104" t="s">
        <v>921</v>
      </c>
      <c r="G47" s="104" t="s">
        <v>922</v>
      </c>
      <c r="H47" s="110" t="s">
        <v>923</v>
      </c>
      <c r="I47" s="10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4" min="3" style="1" width="11"/>
    <col collapsed="false" customWidth="true" hidden="true" outlineLevel="0" max="5" min="5" style="1" width="10"/>
    <col collapsed="false" customWidth="true" hidden="true" outlineLevel="0" max="9" min="6" style="1" width="8"/>
    <col collapsed="false" customWidth="true" hidden="false" outlineLevel="0" max="12" min="10" style="1" width="10"/>
    <col collapsed="false" customWidth="true" hidden="false" outlineLevel="0" max="14" min="13" style="1" width="8"/>
    <col collapsed="false" customWidth="true" hidden="false" outlineLevel="0" max="15" min="15" style="1" width="9"/>
    <col collapsed="false" customWidth="true" hidden="false" outlineLevel="0" max="17" min="16" style="1" width="8"/>
    <col collapsed="false" customWidth="true" hidden="false" outlineLevel="0" max="18" min="18" style="1" width="10"/>
    <col collapsed="false" customWidth="true" hidden="false" outlineLevel="0" max="23" min="19" style="1" width="8"/>
    <col collapsed="false" customWidth="true" hidden="false" outlineLevel="0" max="24" min="24" style="1" width="10"/>
    <col collapsed="false" customWidth="true" hidden="false" outlineLevel="0" max="27" min="25" style="1" width="8"/>
    <col collapsed="false" customWidth="true" hidden="false" outlineLevel="0" max="28" min="28" style="1" width="16"/>
  </cols>
  <sheetData>
    <row r="2" customFormat="false" ht="17.25" hidden="false" customHeight="true" outlineLevel="0" collapsed="false">
      <c r="B2" s="31" t="s">
        <v>924</v>
      </c>
    </row>
    <row r="3" customFormat="false" ht="15" hidden="false" customHeight="true" outlineLevel="0" collapsed="false">
      <c r="B3" s="8" t="s">
        <v>925</v>
      </c>
    </row>
    <row r="5" customFormat="false" ht="15" hidden="false" customHeight="true" outlineLevel="0" collapsed="false">
      <c r="B5" s="4" t="s">
        <v>926</v>
      </c>
      <c r="C5" s="5"/>
      <c r="D5" s="5"/>
      <c r="E5" s="5"/>
      <c r="F5" s="5"/>
    </row>
    <row r="6" customFormat="false" ht="15" hidden="false" customHeight="true" outlineLevel="0" collapsed="false">
      <c r="B6" s="10" t="s">
        <v>45</v>
      </c>
      <c r="C6" s="111" t="s">
        <v>51</v>
      </c>
      <c r="D6" s="111" t="s">
        <v>52</v>
      </c>
      <c r="E6" s="111" t="s">
        <v>53</v>
      </c>
      <c r="F6" s="111" t="s">
        <v>54</v>
      </c>
      <c r="G6" s="111" t="s">
        <v>55</v>
      </c>
    </row>
    <row r="7" customFormat="false" ht="15" hidden="false" customHeight="true" outlineLevel="0" collapsed="false">
      <c r="B7" s="19" t="s">
        <v>927</v>
      </c>
      <c r="C7" s="112" t="n">
        <v>599</v>
      </c>
      <c r="D7" s="112" t="n">
        <v>1649</v>
      </c>
      <c r="E7" s="112" t="n">
        <v>3799</v>
      </c>
      <c r="F7" s="112" t="n">
        <v>5799</v>
      </c>
      <c r="G7" s="112" t="n">
        <v>11699</v>
      </c>
    </row>
    <row r="8" customFormat="false" ht="15" hidden="false" customHeight="true" outlineLevel="0" collapsed="false">
      <c r="B8" s="19" t="s">
        <v>928</v>
      </c>
      <c r="C8" s="18" t="n">
        <f aca="false">1-C9-C18*Технический!$C$47/C7</f>
        <v>0.323074214772938</v>
      </c>
      <c r="D8" s="18" t="n">
        <f aca="false">1-D9-D18*Технический!$C$47/D7</f>
        <v>0.113161171415586</v>
      </c>
      <c r="E8" s="18" t="n">
        <f aca="false">1-E9-E18*Технический!$C$47/E7</f>
        <v>0.100401494600392</v>
      </c>
      <c r="F8" s="18" t="n">
        <f aca="false">1-F9-F18*Технический!$C$47/F7</f>
        <v>0.0913084130673938</v>
      </c>
      <c r="G8" s="18" t="n">
        <f aca="false">1-G9-G18*Технический!$C$47/G7</f>
        <v>0.0805664801204803</v>
      </c>
    </row>
    <row r="9" customFormat="false" ht="15" hidden="false" customHeight="true" outlineLevel="0" collapsed="false">
      <c r="B9" s="19" t="s">
        <v>929</v>
      </c>
      <c r="C9" s="18" t="n">
        <f aca="false">Технический!C61+Технический!C65</f>
        <v>0.09425</v>
      </c>
      <c r="D9" s="18" t="n">
        <f aca="false">Технический!C61+Технический!C65</f>
        <v>0.09425</v>
      </c>
      <c r="E9" s="18" t="n">
        <f aca="false">Технический!C61+Технический!C65</f>
        <v>0.09425</v>
      </c>
      <c r="F9" s="18" t="n">
        <f aca="false">Технический!C61+Технический!C65</f>
        <v>0.09425</v>
      </c>
      <c r="G9" s="18" t="n">
        <f aca="false">Технический!C61+Технический!C65</f>
        <v>0.09425</v>
      </c>
    </row>
    <row r="10" customFormat="false" ht="15" hidden="false" customHeight="true" outlineLevel="0" collapsed="false">
      <c r="B10" s="19" t="s">
        <v>930</v>
      </c>
      <c r="C10" s="15" t="n">
        <f aca="false">C18*Технический!$C$43</f>
        <v>257.325</v>
      </c>
      <c r="D10" s="15" t="n">
        <f aca="false">D18*Технический!$C$43</f>
        <v>963.6</v>
      </c>
      <c r="E10" s="15" t="n">
        <f aca="false">E18*Технический!$C$43</f>
        <v>2255.7</v>
      </c>
      <c r="F10" s="15" t="n">
        <f aca="false">F18*Технический!$C$43</f>
        <v>3482.1</v>
      </c>
      <c r="G10" s="15" t="n">
        <f aca="false">G18*Технический!$C$43</f>
        <v>7117.5</v>
      </c>
    </row>
    <row r="11" customFormat="false" ht="15" hidden="false" customHeight="true" outlineLevel="0" collapsed="false">
      <c r="B11" s="10" t="s">
        <v>931</v>
      </c>
      <c r="C11" s="16" t="n">
        <f aca="false">C18/$G$67</f>
        <v>5.51643192488263</v>
      </c>
      <c r="D11" s="16" t="n">
        <f aca="false">D18/$G$67</f>
        <v>20.6572769953052</v>
      </c>
      <c r="E11" s="16" t="n">
        <f aca="false">E18/$G$67</f>
        <v>48.3568075117371</v>
      </c>
      <c r="F11" s="16" t="n">
        <f aca="false">F18/$G$67</f>
        <v>74.6478873239437</v>
      </c>
      <c r="G11" s="16" t="n">
        <f aca="false">G18/$G$67</f>
        <v>152.582159624413</v>
      </c>
    </row>
    <row r="12" customFormat="false" ht="15" hidden="false" customHeight="true" outlineLevel="0" collapsed="false">
      <c r="B12" s="19"/>
      <c r="C12" s="16"/>
      <c r="D12" s="16"/>
      <c r="E12" s="16"/>
      <c r="F12" s="16"/>
    </row>
    <row r="13" customFormat="false" ht="15" hidden="false" customHeight="true" outlineLevel="0" collapsed="false">
      <c r="B13" s="19"/>
      <c r="C13" s="16"/>
      <c r="D13" s="16"/>
      <c r="E13" s="16"/>
      <c r="F13" s="16"/>
    </row>
    <row r="14" customFormat="false" ht="15" hidden="false" customHeight="true" outlineLevel="0" collapsed="false">
      <c r="B14" s="19"/>
      <c r="C14" s="16"/>
      <c r="D14" s="16"/>
      <c r="E14" s="16"/>
      <c r="F14" s="16"/>
    </row>
    <row r="15" customFormat="false" ht="15" hidden="false" customHeight="true" outlineLevel="0" collapsed="false">
      <c r="B15" s="10" t="s">
        <v>932</v>
      </c>
      <c r="C15" s="113" t="n">
        <f aca="false">C18/$G$60</f>
        <v>37.9032258064516</v>
      </c>
      <c r="D15" s="113" t="n">
        <f aca="false">D18/$G$60</f>
        <v>141.935483870968</v>
      </c>
      <c r="E15" s="113" t="n">
        <f aca="false">E18/$G$60</f>
        <v>332.258064516129</v>
      </c>
      <c r="F15" s="113" t="n">
        <f aca="false">F18/$G$60</f>
        <v>512.903225806452</v>
      </c>
      <c r="G15" s="17" t="n">
        <f aca="false">G18/$G$60</f>
        <v>1048.38709677419</v>
      </c>
    </row>
    <row r="16" customFormat="false" ht="15" hidden="false" customHeight="true" outlineLevel="0" collapsed="false">
      <c r="B16" s="19"/>
      <c r="C16" s="17"/>
      <c r="D16" s="17"/>
      <c r="E16" s="17"/>
      <c r="F16" s="17"/>
    </row>
    <row r="17" customFormat="false" ht="15" hidden="false" customHeight="true" outlineLevel="0" collapsed="false">
      <c r="B17" s="19" t="s">
        <v>933</v>
      </c>
      <c r="C17" s="15" t="n">
        <f aca="false">C7/C11</f>
        <v>108.584680851064</v>
      </c>
      <c r="D17" s="15" t="n">
        <f aca="false">D7/D11</f>
        <v>79.8265909090909</v>
      </c>
      <c r="E17" s="15" t="n">
        <f aca="false">E7/E11</f>
        <v>78.5618446601942</v>
      </c>
      <c r="F17" s="15" t="n">
        <f aca="false">F7/F11</f>
        <v>77.6847169811321</v>
      </c>
      <c r="G17" s="15" t="n">
        <f aca="false">G7/G11</f>
        <v>76.6734461538462</v>
      </c>
    </row>
    <row r="18" customFormat="false" ht="15" hidden="false" customHeight="true" outlineLevel="0" collapsed="false">
      <c r="B18" s="19" t="s">
        <v>934</v>
      </c>
      <c r="C18" s="114" t="n">
        <v>1175</v>
      </c>
      <c r="D18" s="114" t="n">
        <v>4400</v>
      </c>
      <c r="E18" s="114" t="n">
        <v>10300</v>
      </c>
      <c r="F18" s="114" t="n">
        <v>15900</v>
      </c>
      <c r="G18" s="114" t="n">
        <v>32500</v>
      </c>
    </row>
    <row r="19" customFormat="false" ht="15" hidden="false" customHeight="true" outlineLevel="0" collapsed="false">
      <c r="B19" s="19" t="s">
        <v>935</v>
      </c>
      <c r="C19" s="115" t="n">
        <f aca="false">C7/C18</f>
        <v>0.509787234042553</v>
      </c>
      <c r="D19" s="115" t="n">
        <f aca="false">D7/D18</f>
        <v>0.374772727272727</v>
      </c>
      <c r="E19" s="115" t="n">
        <f aca="false">E7/E18</f>
        <v>0.368834951456311</v>
      </c>
      <c r="F19" s="115" t="n">
        <f aca="false">F7/F18</f>
        <v>0.364716981132075</v>
      </c>
      <c r="G19" s="116" t="n">
        <f aca="false">G7/G18</f>
        <v>0.359969230769231</v>
      </c>
    </row>
    <row r="20" customFormat="false" ht="15" hidden="false" customHeight="true" outlineLevel="0" collapsed="false">
      <c r="B20" s="117" t="s">
        <v>936</v>
      </c>
      <c r="C20" s="118" t="n">
        <f aca="false">Технический!C82*C8+Технический!C83*D8+Технический!C84*E8+Технический!C85*F8+Технический!C95*G8</f>
        <v>0.19237895650007</v>
      </c>
    </row>
    <row r="21" customFormat="false" ht="15" hidden="false" customHeight="true" outlineLevel="0" collapsed="false">
      <c r="B21" s="28" t="s">
        <v>937</v>
      </c>
      <c r="C21" s="119" t="n">
        <v>0.039</v>
      </c>
      <c r="D21" s="119" t="n">
        <v>-0.084</v>
      </c>
      <c r="E21" s="119" t="n">
        <v>-0.011</v>
      </c>
      <c r="F21" s="119" t="n">
        <v>-0.029</v>
      </c>
      <c r="G21" s="119" t="n">
        <v>-0.035</v>
      </c>
      <c r="H21" s="120" t="s">
        <v>938</v>
      </c>
      <c r="I21" s="30" t="s">
        <v>939</v>
      </c>
    </row>
    <row r="22" customFormat="false" ht="15" hidden="false" customHeight="true" outlineLevel="0" collapsed="false">
      <c r="B22" s="28"/>
      <c r="C22" s="28"/>
      <c r="D22" s="28"/>
      <c r="E22" s="28"/>
      <c r="F22" s="28"/>
      <c r="G22" s="28"/>
      <c r="H22" s="28"/>
      <c r="I22" s="28"/>
      <c r="J22" s="28"/>
      <c r="K22" s="28"/>
      <c r="L22" s="28"/>
      <c r="M22" s="28"/>
      <c r="N22" s="28"/>
      <c r="O22" s="28"/>
      <c r="P22" s="28"/>
      <c r="Q22" s="28"/>
      <c r="R22" s="28"/>
      <c r="S22" s="28"/>
      <c r="T22" s="28"/>
      <c r="U22" s="28"/>
    </row>
    <row r="23" customFormat="false" ht="15" hidden="false" customHeight="true" outlineLevel="0" collapsed="false">
      <c r="B23" s="4" t="s">
        <v>940</v>
      </c>
      <c r="C23" s="121"/>
      <c r="D23" s="121"/>
      <c r="E23" s="121"/>
      <c r="F23" s="121"/>
      <c r="G23" s="122"/>
      <c r="H23" s="28"/>
      <c r="I23" s="28"/>
      <c r="J23" s="28"/>
      <c r="K23" s="28"/>
      <c r="L23" s="28"/>
      <c r="M23" s="28"/>
      <c r="N23" s="28"/>
      <c r="O23" s="28"/>
      <c r="P23" s="28"/>
      <c r="Q23" s="28"/>
      <c r="R23" s="28"/>
      <c r="S23" s="28"/>
      <c r="T23" s="28"/>
      <c r="U23" s="28"/>
    </row>
    <row r="24" customFormat="false" ht="15" hidden="false" customHeight="true" outlineLevel="0" collapsed="false">
      <c r="B24" s="123" t="s">
        <v>941</v>
      </c>
      <c r="C24" s="124" t="s">
        <v>376</v>
      </c>
      <c r="D24" s="124" t="s">
        <v>942</v>
      </c>
      <c r="E24" s="124" t="s">
        <v>943</v>
      </c>
      <c r="F24" s="124" t="s">
        <v>944</v>
      </c>
      <c r="G24" s="123" t="s">
        <v>945</v>
      </c>
      <c r="H24" s="28"/>
      <c r="I24" s="28"/>
      <c r="J24" s="28"/>
      <c r="K24" s="28"/>
      <c r="L24" s="28"/>
      <c r="M24" s="28"/>
      <c r="N24" s="28"/>
      <c r="O24" s="28"/>
      <c r="P24" s="28"/>
      <c r="Q24" s="28"/>
      <c r="R24" s="28"/>
      <c r="S24" s="28"/>
      <c r="T24" s="28"/>
      <c r="U24" s="28"/>
    </row>
    <row r="25" customFormat="false" ht="15" hidden="false" customHeight="true" outlineLevel="0" collapsed="false">
      <c r="B25" s="125" t="s">
        <v>946</v>
      </c>
      <c r="C25" s="126" t="n">
        <v>500</v>
      </c>
      <c r="D25" s="127" t="n">
        <f aca="false">E25/C25</f>
        <v>0.598</v>
      </c>
      <c r="E25" s="128" t="n">
        <v>299</v>
      </c>
      <c r="F25" s="29" t="n">
        <f aca="false">C25/$G$67</f>
        <v>2.34741784037559</v>
      </c>
      <c r="G25" s="129" t="n">
        <f aca="false">D25/$G$19-1</f>
        <v>0.661253098555432</v>
      </c>
      <c r="H25" s="28"/>
      <c r="I25" s="28"/>
      <c r="J25" s="28"/>
      <c r="K25" s="28"/>
      <c r="L25" s="28"/>
      <c r="M25" s="28"/>
      <c r="N25" s="28"/>
      <c r="O25" s="28"/>
      <c r="P25" s="28"/>
      <c r="Q25" s="28"/>
      <c r="R25" s="28"/>
      <c r="S25" s="28"/>
      <c r="T25" s="28"/>
      <c r="U25" s="28"/>
    </row>
    <row r="26" customFormat="false" ht="15" hidden="false" customHeight="true" outlineLevel="0" collapsed="false">
      <c r="B26" s="125" t="s">
        <v>947</v>
      </c>
      <c r="C26" s="126" t="n">
        <v>1500</v>
      </c>
      <c r="D26" s="127" t="n">
        <f aca="false">E26/C26</f>
        <v>0.532666666666667</v>
      </c>
      <c r="E26" s="128" t="n">
        <v>799</v>
      </c>
      <c r="F26" s="29" t="n">
        <f aca="false">C26/$G$67</f>
        <v>7.04225352112676</v>
      </c>
      <c r="G26" s="129" t="n">
        <f aca="false">D26/$G$19-1</f>
        <v>0.479756104510357</v>
      </c>
      <c r="H26" s="28"/>
      <c r="I26" s="28"/>
      <c r="J26" s="28"/>
      <c r="K26" s="28"/>
      <c r="L26" s="28"/>
      <c r="M26" s="28"/>
      <c r="N26" s="28"/>
      <c r="O26" s="28"/>
      <c r="P26" s="28"/>
      <c r="Q26" s="28"/>
      <c r="R26" s="28"/>
      <c r="S26" s="28"/>
      <c r="T26" s="28"/>
      <c r="U26" s="28"/>
    </row>
    <row r="27" customFormat="false" ht="15" hidden="false" customHeight="true" outlineLevel="0" collapsed="false">
      <c r="B27" s="125" t="s">
        <v>948</v>
      </c>
      <c r="C27" s="126" t="n">
        <v>4000</v>
      </c>
      <c r="D27" s="127" t="n">
        <f aca="false">E27/C27</f>
        <v>0.47475</v>
      </c>
      <c r="E27" s="128" t="n">
        <v>1899</v>
      </c>
      <c r="F27" s="29" t="n">
        <f aca="false">C27/$G$67</f>
        <v>18.7793427230047</v>
      </c>
      <c r="G27" s="129" t="n">
        <f aca="false">D27/$G$19-1</f>
        <v>0.318862723309685</v>
      </c>
      <c r="H27" s="28"/>
      <c r="I27" s="28"/>
      <c r="J27" s="28"/>
      <c r="K27" s="28"/>
      <c r="L27" s="28"/>
      <c r="M27" s="28"/>
      <c r="N27" s="28"/>
      <c r="O27" s="28"/>
      <c r="P27" s="28"/>
      <c r="Q27" s="28"/>
      <c r="R27" s="28"/>
      <c r="S27" s="28"/>
      <c r="T27" s="28"/>
      <c r="U27" s="28"/>
    </row>
    <row r="28" customFormat="false" ht="15" hidden="false" customHeight="true" outlineLevel="0" collapsed="false">
      <c r="B28" s="125" t="s">
        <v>949</v>
      </c>
      <c r="C28" s="126" t="n">
        <v>10000</v>
      </c>
      <c r="D28" s="127" t="n">
        <f aca="false">E28/C28</f>
        <v>0.4499</v>
      </c>
      <c r="E28" s="128" t="n">
        <v>4499</v>
      </c>
      <c r="F28" s="29" t="n">
        <f aca="false">C28/$G$67</f>
        <v>46.9483568075117</v>
      </c>
      <c r="G28" s="129" t="n">
        <f aca="false">D28/$G$19-1</f>
        <v>0.24982904521754</v>
      </c>
      <c r="H28" s="28"/>
      <c r="I28" s="28"/>
      <c r="J28" s="28"/>
      <c r="K28" s="28"/>
      <c r="L28" s="28"/>
      <c r="M28" s="28"/>
      <c r="N28" s="28"/>
      <c r="O28" s="28"/>
      <c r="P28" s="28"/>
      <c r="Q28" s="28"/>
      <c r="R28" s="28"/>
      <c r="S28" s="28"/>
      <c r="T28" s="28"/>
      <c r="U28" s="28"/>
    </row>
    <row r="29" customFormat="false" ht="15" hidden="false" customHeight="true" outlineLevel="0" collapsed="false">
      <c r="B29" s="125" t="s">
        <v>950</v>
      </c>
      <c r="C29" s="126" t="n">
        <v>25000</v>
      </c>
      <c r="D29" s="127" t="n">
        <f aca="false">E29/C29</f>
        <v>0.43996</v>
      </c>
      <c r="E29" s="128" t="n">
        <v>10999</v>
      </c>
      <c r="F29" s="29" t="n">
        <f aca="false">C29/$G$67</f>
        <v>117.370892018779</v>
      </c>
      <c r="G29" s="129" t="n">
        <f aca="false">D29/$G$19-1</f>
        <v>0.222215573980682</v>
      </c>
      <c r="H29" s="28"/>
      <c r="I29" s="28"/>
      <c r="J29" s="28"/>
      <c r="K29" s="28"/>
      <c r="L29" s="28"/>
      <c r="M29" s="28"/>
      <c r="N29" s="28"/>
      <c r="O29" s="28"/>
      <c r="P29" s="28"/>
      <c r="Q29" s="28"/>
      <c r="R29" s="28"/>
      <c r="S29" s="28"/>
      <c r="T29" s="28"/>
      <c r="U29" s="28"/>
    </row>
    <row r="30" customFormat="false" ht="15" hidden="false" customHeight="true" outlineLevel="0" collapsed="false">
      <c r="B30" s="28"/>
      <c r="C30" s="28"/>
      <c r="D30" s="28"/>
      <c r="E30" s="28"/>
      <c r="F30" s="28"/>
      <c r="G30" s="28"/>
      <c r="H30" s="28"/>
      <c r="I30" s="28"/>
      <c r="J30" s="28"/>
      <c r="K30" s="28"/>
      <c r="L30" s="28"/>
      <c r="M30" s="28"/>
      <c r="N30" s="28"/>
      <c r="O30" s="28"/>
      <c r="P30" s="28"/>
      <c r="Q30" s="28"/>
      <c r="R30" s="28"/>
      <c r="S30" s="28"/>
      <c r="T30" s="28"/>
      <c r="U30" s="28"/>
    </row>
    <row r="31" customFormat="false" ht="15" hidden="false" customHeight="true" outlineLevel="0" collapsed="false">
      <c r="B31" s="30" t="s">
        <v>951</v>
      </c>
      <c r="H31" s="28"/>
      <c r="I31" s="28"/>
      <c r="J31" s="28"/>
      <c r="K31" s="28"/>
      <c r="L31" s="28"/>
      <c r="M31" s="28"/>
      <c r="N31" s="28"/>
      <c r="O31" s="28"/>
      <c r="P31" s="28"/>
      <c r="Q31" s="28"/>
      <c r="R31" s="28"/>
      <c r="S31" s="28"/>
      <c r="T31" s="28"/>
      <c r="U31" s="28"/>
    </row>
    <row r="32" customFormat="false" ht="15" hidden="false" customHeight="true" outlineLevel="0" collapsed="false">
      <c r="B32" s="130"/>
      <c r="C32" s="130"/>
      <c r="D32" s="130"/>
      <c r="E32" s="130"/>
      <c r="F32" s="130"/>
      <c r="G32" s="130"/>
      <c r="H32" s="28"/>
      <c r="I32" s="28"/>
      <c r="J32" s="28"/>
      <c r="K32" s="28"/>
      <c r="L32" s="28"/>
      <c r="M32" s="28"/>
      <c r="N32" s="28"/>
      <c r="O32" s="28"/>
      <c r="P32" s="28"/>
      <c r="Q32" s="28"/>
      <c r="R32" s="28"/>
      <c r="S32" s="28"/>
      <c r="T32" s="28"/>
      <c r="U32" s="28"/>
    </row>
    <row r="33" customFormat="false" ht="15" hidden="false" customHeight="true" outlineLevel="0" collapsed="false">
      <c r="B33" s="28"/>
      <c r="C33" s="128"/>
      <c r="D33" s="29"/>
      <c r="E33" s="128"/>
      <c r="F33" s="131"/>
      <c r="G33" s="128"/>
      <c r="H33" s="28"/>
      <c r="I33" s="28"/>
      <c r="J33" s="28"/>
      <c r="K33" s="28"/>
      <c r="L33" s="28"/>
      <c r="M33" s="28"/>
      <c r="N33" s="28"/>
      <c r="O33" s="28"/>
      <c r="P33" s="28"/>
      <c r="Q33" s="28"/>
      <c r="R33" s="28"/>
      <c r="S33" s="28"/>
      <c r="T33" s="28"/>
      <c r="U33" s="28"/>
    </row>
    <row r="34" customFormat="false" ht="15" hidden="false" customHeight="true" outlineLevel="0" collapsed="false">
      <c r="B34" s="28"/>
      <c r="C34" s="128"/>
      <c r="D34" s="29"/>
      <c r="E34" s="128"/>
      <c r="F34" s="131"/>
      <c r="G34" s="128"/>
      <c r="H34" s="28"/>
      <c r="I34" s="28"/>
      <c r="J34" s="28"/>
      <c r="K34" s="28"/>
      <c r="L34" s="28"/>
      <c r="M34" s="28"/>
      <c r="N34" s="28"/>
      <c r="O34" s="28"/>
      <c r="P34" s="28"/>
      <c r="Q34" s="28"/>
      <c r="R34" s="28"/>
      <c r="S34" s="28"/>
      <c r="T34" s="28"/>
      <c r="U34" s="28"/>
    </row>
    <row r="35" customFormat="false" ht="15" hidden="false" customHeight="true" outlineLevel="0" collapsed="false">
      <c r="B35" s="28"/>
      <c r="C35" s="128"/>
      <c r="D35" s="29"/>
      <c r="E35" s="128"/>
      <c r="F35" s="131"/>
      <c r="G35" s="128"/>
      <c r="H35" s="28"/>
      <c r="I35" s="28"/>
      <c r="J35" s="28"/>
      <c r="K35" s="28"/>
      <c r="L35" s="28"/>
      <c r="M35" s="28"/>
      <c r="N35" s="28"/>
      <c r="O35" s="28"/>
      <c r="P35" s="28"/>
      <c r="Q35" s="28"/>
      <c r="R35" s="28"/>
      <c r="S35" s="28"/>
      <c r="T35" s="28"/>
      <c r="U35" s="28"/>
    </row>
    <row r="36" customFormat="false" ht="15" hidden="false" customHeight="true" outlineLevel="0" collapsed="false">
      <c r="B36" s="28"/>
      <c r="C36" s="128"/>
      <c r="D36" s="29"/>
      <c r="E36" s="128"/>
      <c r="F36" s="131"/>
      <c r="G36" s="128"/>
      <c r="H36" s="28"/>
      <c r="I36" s="28"/>
      <c r="J36" s="28"/>
      <c r="K36" s="28"/>
      <c r="L36" s="28"/>
      <c r="M36" s="28"/>
      <c r="N36" s="28"/>
      <c r="O36" s="28"/>
      <c r="P36" s="28"/>
      <c r="Q36" s="28"/>
      <c r="R36" s="28"/>
      <c r="S36" s="28"/>
      <c r="T36" s="28"/>
      <c r="U36" s="28"/>
    </row>
    <row r="37" customFormat="false" ht="15" hidden="false" customHeight="true" outlineLevel="0" collapsed="false">
      <c r="B37" s="28"/>
      <c r="C37" s="128"/>
      <c r="D37" s="29"/>
      <c r="E37" s="128"/>
      <c r="F37" s="131"/>
      <c r="G37" s="128"/>
      <c r="H37" s="28"/>
      <c r="I37" s="28"/>
      <c r="J37" s="28"/>
      <c r="K37" s="28"/>
      <c r="L37" s="28"/>
      <c r="M37" s="28"/>
      <c r="N37" s="28"/>
      <c r="O37" s="28"/>
      <c r="P37" s="28"/>
      <c r="Q37" s="28"/>
      <c r="R37" s="28"/>
      <c r="S37" s="28"/>
      <c r="T37" s="28"/>
      <c r="U37" s="28"/>
    </row>
    <row r="38" customFormat="false" ht="15" hidden="false" customHeight="true" outlineLevel="0" collapsed="false">
      <c r="B38" s="28"/>
      <c r="C38" s="28"/>
      <c r="D38" s="28"/>
      <c r="E38" s="28"/>
      <c r="F38" s="28"/>
      <c r="G38" s="28"/>
      <c r="H38" s="28"/>
      <c r="I38" s="28"/>
      <c r="J38" s="28"/>
      <c r="K38" s="28"/>
      <c r="L38" s="28"/>
      <c r="M38" s="28"/>
      <c r="N38" s="28"/>
      <c r="O38" s="28"/>
      <c r="P38" s="28"/>
      <c r="Q38" s="28"/>
      <c r="R38" s="28"/>
      <c r="S38" s="28"/>
      <c r="T38" s="28"/>
      <c r="U38" s="28"/>
    </row>
    <row r="39" customFormat="false" ht="15" hidden="false" customHeight="true" outlineLevel="0" collapsed="false">
      <c r="B39" s="28"/>
      <c r="C39" s="28"/>
      <c r="D39" s="28"/>
      <c r="E39" s="28"/>
      <c r="F39" s="28"/>
      <c r="G39" s="28"/>
      <c r="H39" s="28"/>
      <c r="I39" s="28"/>
      <c r="J39" s="28"/>
      <c r="K39" s="28"/>
      <c r="L39" s="28"/>
      <c r="M39" s="28"/>
      <c r="N39" s="28"/>
      <c r="O39" s="28"/>
      <c r="P39" s="28"/>
      <c r="Q39" s="28"/>
      <c r="R39" s="28"/>
      <c r="S39" s="28"/>
      <c r="T39" s="28"/>
      <c r="U39" s="28"/>
    </row>
    <row r="40" customFormat="false" ht="15" hidden="false" customHeight="true" outlineLevel="0" collapsed="false">
      <c r="B40" s="28"/>
      <c r="C40" s="28"/>
      <c r="D40" s="28"/>
      <c r="E40" s="28"/>
      <c r="F40" s="28"/>
      <c r="G40" s="28"/>
      <c r="H40" s="28"/>
      <c r="I40" s="28"/>
      <c r="J40" s="28"/>
      <c r="K40" s="28"/>
      <c r="L40" s="28"/>
      <c r="M40" s="28"/>
      <c r="N40" s="28"/>
      <c r="O40" s="28"/>
      <c r="P40" s="28"/>
      <c r="Q40" s="28"/>
      <c r="R40" s="28"/>
      <c r="S40" s="28"/>
      <c r="T40" s="28"/>
      <c r="U40" s="28"/>
    </row>
    <row r="41" customFormat="false" ht="15" hidden="false" customHeight="true" outlineLevel="0" collapsed="false">
      <c r="B41" s="131"/>
      <c r="C41" s="131"/>
      <c r="D41" s="131"/>
      <c r="E41" s="131"/>
      <c r="F41" s="131"/>
      <c r="G41" s="131"/>
      <c r="H41" s="28"/>
      <c r="I41" s="28"/>
      <c r="J41" s="28"/>
      <c r="K41" s="28"/>
      <c r="L41" s="28"/>
      <c r="M41" s="28"/>
      <c r="N41" s="28"/>
      <c r="O41" s="28"/>
      <c r="P41" s="28"/>
      <c r="Q41" s="28"/>
      <c r="R41" s="28"/>
      <c r="S41" s="28"/>
      <c r="T41" s="28"/>
      <c r="U41" s="28"/>
    </row>
    <row r="42" customFormat="false" ht="15" hidden="false" customHeight="true" outlineLevel="0" collapsed="false">
      <c r="B42" s="131"/>
      <c r="C42" s="132"/>
      <c r="D42" s="133"/>
      <c r="E42" s="128"/>
      <c r="F42" s="132"/>
      <c r="G42" s="129"/>
      <c r="H42" s="28"/>
      <c r="I42" s="28"/>
      <c r="J42" s="28"/>
      <c r="K42" s="28"/>
      <c r="L42" s="28"/>
      <c r="M42" s="28"/>
      <c r="N42" s="28"/>
      <c r="O42" s="28"/>
      <c r="P42" s="28"/>
      <c r="Q42" s="28"/>
      <c r="R42" s="28"/>
      <c r="S42" s="28"/>
      <c r="T42" s="28"/>
      <c r="U42" s="28"/>
    </row>
    <row r="43" customFormat="false" ht="15" hidden="false" customHeight="true" outlineLevel="0" collapsed="false">
      <c r="B43" s="131"/>
      <c r="C43" s="132"/>
      <c r="D43" s="133"/>
      <c r="E43" s="128"/>
      <c r="F43" s="132"/>
      <c r="G43" s="129"/>
      <c r="H43" s="28"/>
      <c r="I43" s="28"/>
      <c r="J43" s="28"/>
      <c r="K43" s="28"/>
      <c r="L43" s="28"/>
      <c r="M43" s="28"/>
      <c r="N43" s="28"/>
      <c r="O43" s="28"/>
      <c r="P43" s="28"/>
      <c r="Q43" s="28"/>
      <c r="R43" s="28"/>
      <c r="S43" s="28"/>
      <c r="T43" s="28"/>
      <c r="U43" s="28"/>
    </row>
    <row r="44" customFormat="false" ht="15" hidden="false" customHeight="true" outlineLevel="0" collapsed="false">
      <c r="B44" s="131"/>
      <c r="C44" s="132"/>
      <c r="D44" s="133"/>
      <c r="E44" s="128"/>
      <c r="F44" s="132"/>
      <c r="G44" s="129"/>
      <c r="H44" s="28"/>
      <c r="I44" s="28"/>
      <c r="J44" s="28"/>
      <c r="K44" s="28"/>
      <c r="L44" s="28"/>
      <c r="M44" s="28"/>
      <c r="N44" s="28"/>
      <c r="O44" s="28"/>
      <c r="P44" s="28"/>
      <c r="Q44" s="28"/>
      <c r="R44" s="28"/>
      <c r="S44" s="28"/>
      <c r="T44" s="28"/>
      <c r="U44" s="28"/>
    </row>
    <row r="45" customFormat="false" ht="15" hidden="false" customHeight="true" outlineLevel="0" collapsed="false">
      <c r="B45" s="131"/>
      <c r="C45" s="132"/>
      <c r="D45" s="133"/>
      <c r="E45" s="128"/>
      <c r="F45" s="132"/>
      <c r="G45" s="129"/>
      <c r="H45" s="28"/>
      <c r="I45" s="28"/>
      <c r="J45" s="28"/>
      <c r="K45" s="28"/>
      <c r="L45" s="28"/>
      <c r="M45" s="28"/>
      <c r="N45" s="28"/>
      <c r="O45" s="28"/>
      <c r="P45" s="28"/>
      <c r="Q45" s="28"/>
      <c r="R45" s="28"/>
      <c r="S45" s="28"/>
      <c r="T45" s="28"/>
      <c r="U45" s="28"/>
    </row>
    <row r="46" customFormat="false" ht="15" hidden="false" customHeight="true" outlineLevel="0" collapsed="false">
      <c r="B46" s="131"/>
      <c r="C46" s="132"/>
      <c r="D46" s="133"/>
      <c r="E46" s="128"/>
      <c r="F46" s="132"/>
      <c r="G46" s="129"/>
      <c r="H46" s="28"/>
      <c r="I46" s="28"/>
      <c r="J46" s="28"/>
      <c r="K46" s="28"/>
      <c r="L46" s="28"/>
      <c r="M46" s="28"/>
      <c r="N46" s="28"/>
      <c r="O46" s="28"/>
      <c r="P46" s="28"/>
      <c r="Q46" s="28"/>
      <c r="R46" s="28"/>
      <c r="S46" s="28"/>
      <c r="T46" s="28"/>
      <c r="U46" s="28"/>
    </row>
    <row r="47" customFormat="false" ht="15" hidden="false" customHeight="true" outlineLevel="0" collapsed="false">
      <c r="B47" s="28"/>
      <c r="C47" s="28"/>
      <c r="D47" s="28"/>
      <c r="E47" s="28"/>
      <c r="F47" s="28"/>
      <c r="G47" s="28"/>
      <c r="H47" s="28"/>
      <c r="I47" s="28"/>
      <c r="J47" s="28"/>
      <c r="K47" s="28"/>
      <c r="L47" s="28"/>
      <c r="M47" s="28"/>
      <c r="N47" s="28"/>
      <c r="O47" s="28"/>
      <c r="P47" s="28"/>
      <c r="Q47" s="28"/>
      <c r="R47" s="28"/>
      <c r="S47" s="28"/>
      <c r="T47" s="28"/>
      <c r="U47" s="28"/>
    </row>
    <row r="48" customFormat="false" ht="15" hidden="false" customHeight="true" outlineLevel="0" collapsed="false">
      <c r="B48" s="28"/>
      <c r="C48" s="28"/>
      <c r="D48" s="28"/>
      <c r="E48" s="28"/>
      <c r="F48" s="28"/>
      <c r="G48" s="28"/>
      <c r="H48" s="28"/>
      <c r="I48" s="28"/>
      <c r="J48" s="28"/>
      <c r="K48" s="28"/>
      <c r="L48" s="28"/>
      <c r="M48" s="28"/>
      <c r="N48" s="28"/>
      <c r="O48" s="28"/>
      <c r="P48" s="28"/>
      <c r="Q48" s="28"/>
      <c r="R48" s="28"/>
      <c r="S48" s="28"/>
      <c r="T48" s="28"/>
      <c r="U48" s="28"/>
    </row>
    <row r="49" customFormat="false" ht="15" hidden="false" customHeight="true" outlineLevel="0" collapsed="false">
      <c r="B49" s="134" t="s">
        <v>952</v>
      </c>
      <c r="C49" s="122"/>
      <c r="D49" s="122"/>
      <c r="E49" s="122"/>
      <c r="F49" s="122"/>
      <c r="G49" s="122"/>
      <c r="H49" s="122"/>
      <c r="I49" s="122"/>
      <c r="J49" s="122"/>
      <c r="K49" s="122"/>
      <c r="L49" s="122"/>
      <c r="M49" s="122"/>
      <c r="N49" s="122"/>
      <c r="O49" s="122"/>
      <c r="P49" s="122"/>
      <c r="Q49" s="122"/>
      <c r="R49" s="122"/>
      <c r="S49" s="122"/>
      <c r="T49" s="122"/>
      <c r="U49" s="122"/>
    </row>
    <row r="50" customFormat="false" ht="32.25" hidden="false" customHeight="true" outlineLevel="0" collapsed="false">
      <c r="B50" s="130"/>
      <c r="C50" s="130"/>
      <c r="D50" s="130"/>
      <c r="E50" s="130"/>
      <c r="F50" s="131"/>
      <c r="G50" s="28"/>
      <c r="H50" s="28"/>
      <c r="I50" s="28"/>
      <c r="J50" s="130"/>
      <c r="K50" s="131"/>
      <c r="L50" s="28"/>
      <c r="M50" s="135" t="s">
        <v>953</v>
      </c>
      <c r="N50" s="135"/>
      <c r="O50" s="135"/>
      <c r="P50" s="135"/>
      <c r="Q50" s="135"/>
      <c r="R50" s="131"/>
      <c r="S50" s="136" t="s">
        <v>954</v>
      </c>
      <c r="T50" s="136"/>
      <c r="U50" s="136"/>
      <c r="V50" s="136"/>
      <c r="W50" s="136"/>
      <c r="X50" s="137" t="s">
        <v>955</v>
      </c>
      <c r="Y50" s="137"/>
      <c r="Z50" s="137"/>
      <c r="AA50" s="137"/>
    </row>
    <row r="51" customFormat="false" ht="15" hidden="false" customHeight="true" outlineLevel="0" collapsed="false">
      <c r="B51" s="32" t="s">
        <v>956</v>
      </c>
      <c r="C51" s="138"/>
      <c r="D51" s="128"/>
      <c r="E51" s="133"/>
      <c r="F51" s="132"/>
      <c r="G51" s="132"/>
      <c r="H51" s="132"/>
      <c r="I51" s="132"/>
      <c r="J51" s="29"/>
      <c r="K51" s="132"/>
      <c r="L51" s="132"/>
      <c r="M51" s="139" t="n">
        <f aca="false">Тарифы!C18</f>
        <v>1175</v>
      </c>
      <c r="N51" s="139" t="n">
        <f aca="false">Тарифы!D18</f>
        <v>4400</v>
      </c>
      <c r="O51" s="139" t="n">
        <f aca="false">Тарифы!E18</f>
        <v>10300</v>
      </c>
      <c r="P51" s="139" t="n">
        <f aca="false">Тарифы!F18</f>
        <v>15900</v>
      </c>
      <c r="Q51" s="139" t="n">
        <f aca="false">Тарифы!G18</f>
        <v>32500</v>
      </c>
      <c r="R51" s="132"/>
      <c r="S51" s="140" t="n">
        <f aca="false">Технический!C108</f>
        <v>260</v>
      </c>
      <c r="T51" s="140" t="n">
        <f aca="false">Технический!D108</f>
        <v>685.5</v>
      </c>
      <c r="U51" s="140" t="n">
        <f aca="false">Технический!E108</f>
        <v>1700</v>
      </c>
      <c r="V51" s="140" t="n">
        <f aca="false">Технический!F108</f>
        <v>2600</v>
      </c>
      <c r="W51" s="140" t="n">
        <f aca="false">Технический!G108</f>
        <v>3000</v>
      </c>
      <c r="Y51" s="141" t="n">
        <f aca="false">Технический!I112</f>
        <v>270</v>
      </c>
      <c r="Z51" s="141" t="n">
        <f aca="false">Технический!I110</f>
        <v>1200</v>
      </c>
      <c r="AA51" s="141" t="n">
        <f aca="false">Технический!I111</f>
        <v>3000</v>
      </c>
    </row>
    <row r="52" customFormat="false" ht="15" hidden="false" customHeight="true" outlineLevel="0" collapsed="false">
      <c r="B52" s="142" t="s">
        <v>74</v>
      </c>
      <c r="C52" s="143" t="s">
        <v>828</v>
      </c>
      <c r="D52" s="144" t="s">
        <v>957</v>
      </c>
      <c r="E52" s="145" t="s">
        <v>958</v>
      </c>
      <c r="F52" s="146" t="s">
        <v>959</v>
      </c>
      <c r="G52" s="146" t="s">
        <v>960</v>
      </c>
      <c r="H52" s="146" t="s">
        <v>961</v>
      </c>
      <c r="I52" s="146" t="s">
        <v>962</v>
      </c>
      <c r="J52" s="146" t="s">
        <v>963</v>
      </c>
      <c r="K52" s="146" t="s">
        <v>964</v>
      </c>
      <c r="L52" s="147" t="s">
        <v>965</v>
      </c>
      <c r="M52" s="142" t="s">
        <v>51</v>
      </c>
      <c r="N52" s="142" t="s">
        <v>52</v>
      </c>
      <c r="O52" s="142" t="s">
        <v>53</v>
      </c>
      <c r="P52" s="142" t="s">
        <v>54</v>
      </c>
      <c r="Q52" s="142" t="s">
        <v>55</v>
      </c>
      <c r="R52" s="142" t="s">
        <v>966</v>
      </c>
      <c r="S52" s="142" t="s">
        <v>82</v>
      </c>
      <c r="T52" s="142" t="s">
        <v>52</v>
      </c>
      <c r="U52" s="142" t="s">
        <v>83</v>
      </c>
      <c r="V52" s="142" t="s">
        <v>54</v>
      </c>
      <c r="W52" s="142" t="s">
        <v>84</v>
      </c>
      <c r="X52" s="142" t="s">
        <v>967</v>
      </c>
      <c r="Y52" s="142" t="s">
        <v>86</v>
      </c>
      <c r="Z52" s="142" t="s">
        <v>87</v>
      </c>
      <c r="AA52" s="142" t="s">
        <v>55</v>
      </c>
      <c r="AB52" s="148" t="s">
        <v>968</v>
      </c>
      <c r="AC52" s="1" t="s">
        <v>969</v>
      </c>
      <c r="AD52" s="1" t="s">
        <v>970</v>
      </c>
      <c r="AE52" s="1" t="s">
        <v>971</v>
      </c>
    </row>
    <row r="53" customFormat="false" ht="15" hidden="false" customHeight="true" outlineLevel="0" collapsed="false">
      <c r="B53" s="149" t="s">
        <v>972</v>
      </c>
      <c r="C53" s="150"/>
      <c r="D53" s="151"/>
      <c r="E53" s="152"/>
      <c r="F53" s="153"/>
      <c r="G53" s="153"/>
      <c r="H53" s="153"/>
      <c r="I53" s="153"/>
      <c r="J53" s="153"/>
      <c r="K53" s="153"/>
      <c r="L53" s="154"/>
      <c r="M53" s="155"/>
      <c r="N53" s="155"/>
      <c r="O53" s="155"/>
      <c r="P53" s="155"/>
      <c r="Q53" s="155"/>
      <c r="R53" s="155"/>
      <c r="S53" s="155"/>
      <c r="T53" s="155"/>
      <c r="U53" s="155"/>
      <c r="V53" s="155"/>
      <c r="W53" s="155"/>
      <c r="X53" s="156"/>
      <c r="Y53" s="156"/>
      <c r="Z53" s="156"/>
      <c r="AA53" s="156"/>
    </row>
    <row r="54" customFormat="false" ht="15" hidden="false" customHeight="true" outlineLevel="0" collapsed="false">
      <c r="B54" s="117" t="s">
        <v>201</v>
      </c>
      <c r="C54" s="138" t="s">
        <v>202</v>
      </c>
      <c r="D54" s="128" t="s">
        <v>973</v>
      </c>
      <c r="E54" s="127" t="n">
        <f aca="false">G54/F54</f>
        <v>8</v>
      </c>
      <c r="F54" s="157" t="n">
        <v>1</v>
      </c>
      <c r="G54" s="158" t="n">
        <v>8</v>
      </c>
      <c r="H54" s="159" t="n">
        <v>0.02</v>
      </c>
      <c r="I54" s="157" t="n">
        <v>2</v>
      </c>
      <c r="J54" s="133" t="n">
        <f aca="false">H54*F54*IF(I54=1,Технический!$C$26,Технический!$C$27)</f>
        <v>2.01277937704918</v>
      </c>
      <c r="K54" s="160" t="n">
        <f aca="false">J54/G54</f>
        <v>0.251597422131148</v>
      </c>
      <c r="L54" s="118" t="n">
        <f aca="false">1-K54/Тарифы!$G$19</f>
        <v>0.301058533271024</v>
      </c>
      <c r="M54" s="161" t="n">
        <f aca="false">Тарифы!C$18/$G54</f>
        <v>146.875</v>
      </c>
      <c r="N54" s="161" t="n">
        <f aca="false">Тарифы!D$18/$G54</f>
        <v>550</v>
      </c>
      <c r="O54" s="161" t="n">
        <f aca="false">Тарифы!E$18/$G54</f>
        <v>1287.5</v>
      </c>
      <c r="P54" s="161" t="n">
        <f aca="false">Тарифы!F$18/$G54</f>
        <v>1987.5</v>
      </c>
      <c r="Q54" s="161" t="n">
        <f aca="false">Тарифы!G$18/$G54</f>
        <v>4062.5</v>
      </c>
      <c r="R54" s="162" t="n">
        <v>1.5</v>
      </c>
      <c r="S54" s="40" t="n">
        <f aca="false">IF(ISNUMBER($R54),Технический!C$108/$R54,"")</f>
        <v>173.333333333333</v>
      </c>
      <c r="T54" s="40" t="n">
        <f aca="false">IF(ISNUMBER($R54),Технический!D$108/$R54,"")</f>
        <v>457</v>
      </c>
      <c r="U54" s="40" t="n">
        <f aca="false">IF(ISNUMBER($R54),Технический!E$108/$R54,"")</f>
        <v>1133.33333333333</v>
      </c>
      <c r="V54" s="40" t="n">
        <f aca="false">IF(ISNUMBER($R54),Технический!F$108/$R54,"")</f>
        <v>1733.33333333333</v>
      </c>
      <c r="W54" s="40" t="n">
        <f aca="false">IF(ISNUMBER($R54),Технический!G$108/$R54,"")</f>
        <v>2000</v>
      </c>
      <c r="X54" s="162" t="n">
        <v>1</v>
      </c>
      <c r="Y54" s="43" t="n">
        <f aca="false">IF(ISNUMBER($X54),Технический!$I$112/$X54,"")</f>
        <v>270</v>
      </c>
      <c r="Z54" s="43" t="n">
        <f aca="false">IF(ISNUMBER($X54),Технический!$I$110/$X54,"")</f>
        <v>1200</v>
      </c>
      <c r="AA54" s="43" t="n">
        <f aca="false">IF(ISNUMBER($X54),Технический!$I$111/$X54,"")</f>
        <v>3000</v>
      </c>
      <c r="AB54" s="163" t="n">
        <f aca="false">IFERROR(AVERAGE((M54/$C$7)/((Технический!$C$108/$R54)/Технический!$C$107),(N54/$D$7)/((Технический!$D$108/$R54)/Технический!$D$107),(O54/$E$7)/((Технический!$E$108/$R54)/Технический!$E$107),(P54/$F$7)/((Технический!$F$108/$R54)/Технический!$F$107),(Q54/$G$7)/((Технический!$G$108/$R54)/Технический!$G$107))-1,"")</f>
        <v>0.390350965058556</v>
      </c>
      <c r="AC54" s="1" t="n">
        <v>1.8</v>
      </c>
      <c r="AD54" s="1" t="n">
        <f aca="false">AC54/G54</f>
        <v>0.225</v>
      </c>
      <c r="AE54" s="1" t="n">
        <f aca="false">(Тарифы!$G$19-AD54)/Тарифы!$G$19</f>
        <v>0.374946576630481</v>
      </c>
    </row>
    <row r="55" customFormat="false" ht="15" hidden="false" customHeight="true" outlineLevel="0" collapsed="false">
      <c r="B55" s="117" t="s">
        <v>235</v>
      </c>
      <c r="C55" s="138" t="s">
        <v>202</v>
      </c>
      <c r="D55" s="128" t="s">
        <v>973</v>
      </c>
      <c r="E55" s="127" t="n">
        <f aca="false">G55/F55</f>
        <v>25</v>
      </c>
      <c r="F55" s="157" t="n">
        <v>1</v>
      </c>
      <c r="G55" s="158" t="n">
        <v>25</v>
      </c>
      <c r="H55" s="159" t="n">
        <v>0.04</v>
      </c>
      <c r="I55" s="157" t="n">
        <v>1</v>
      </c>
      <c r="J55" s="133" t="n">
        <f aca="false">H55*F55*IF(I55=1,Технический!$C$26,Технический!$C$27)</f>
        <v>4.24696448557377</v>
      </c>
      <c r="K55" s="160" t="n">
        <f aca="false">J55/G55</f>
        <v>0.169878579422951</v>
      </c>
      <c r="L55" s="118" t="n">
        <f aca="false">1-K55/Тарифы!$G$19</f>
        <v>0.528074721664595</v>
      </c>
      <c r="M55" s="161" t="n">
        <f aca="false">Тарифы!C$18/$G55</f>
        <v>47</v>
      </c>
      <c r="N55" s="161" t="n">
        <f aca="false">Тарифы!D$18/$G55</f>
        <v>176</v>
      </c>
      <c r="O55" s="161" t="n">
        <f aca="false">Тарифы!E$18/$G55</f>
        <v>412</v>
      </c>
      <c r="P55" s="161" t="n">
        <f aca="false">Тарифы!F$18/$G55</f>
        <v>636</v>
      </c>
      <c r="Q55" s="161" t="n">
        <f aca="false">Тарифы!G$18/$G55</f>
        <v>1300</v>
      </c>
      <c r="R55" s="164" t="s">
        <v>420</v>
      </c>
      <c r="S55" s="40" t="str">
        <f aca="false">IF(ISNUMBER($R55),Технический!C$108/$R55,"")</f>
        <v/>
      </c>
      <c r="T55" s="40" t="str">
        <f aca="false">IF(ISNUMBER($R55),Технический!D$108/$R55,"")</f>
        <v/>
      </c>
      <c r="U55" s="40" t="str">
        <f aca="false">IF(ISNUMBER($R55),Технический!E$108/$R55,"")</f>
        <v/>
      </c>
      <c r="V55" s="40" t="str">
        <f aca="false">IF(ISNUMBER($R55),Технический!F$108/$R55,"")</f>
        <v/>
      </c>
      <c r="W55" s="40" t="str">
        <f aca="false">IF(ISNUMBER($R55),Технический!G$108/$R55,"")</f>
        <v/>
      </c>
      <c r="X55" s="162" t="n">
        <v>1.25</v>
      </c>
      <c r="Y55" s="43" t="n">
        <f aca="false">IF(ISNUMBER($X55),Технический!$I$112/$X55,"")</f>
        <v>216</v>
      </c>
      <c r="Z55" s="43" t="n">
        <f aca="false">IF(ISNUMBER($X55),Технический!$I$110/$X55,"")</f>
        <v>960</v>
      </c>
      <c r="AA55" s="43" t="n">
        <f aca="false">IF(ISNUMBER($X55),Технический!$I$111/$X55,"")</f>
        <v>2400</v>
      </c>
      <c r="AB55" s="163" t="str">
        <f aca="false">IFERROR(AVERAGE((M55/$C$7)/((Технический!$C$108/$R55)/Технический!$C$107),(N55/$D$7)/((Технический!$D$108/$R55)/Технический!$D$107),(O55/$E$7)/((Технический!$E$108/$R55)/Технический!$E$107),(P55/$F$7)/((Технический!$F$108/$R55)/Технический!$F$107),(Q55/$G$7)/((Технический!$G$108/$R55)/Технический!$G$107))-1,"")</f>
        <v/>
      </c>
      <c r="AC55" s="1" t="s">
        <v>974</v>
      </c>
      <c r="AD55" s="1" t="s">
        <v>975</v>
      </c>
    </row>
    <row r="56" customFormat="false" ht="15" hidden="false" customHeight="true" outlineLevel="0" collapsed="false">
      <c r="B56" s="117" t="s">
        <v>508</v>
      </c>
      <c r="C56" s="138" t="s">
        <v>202</v>
      </c>
      <c r="D56" s="128" t="s">
        <v>973</v>
      </c>
      <c r="E56" s="127" t="n">
        <f aca="false">G56/F56</f>
        <v>10</v>
      </c>
      <c r="F56" s="157" t="n">
        <v>1</v>
      </c>
      <c r="G56" s="158" t="n">
        <v>10</v>
      </c>
      <c r="H56" s="159" t="n">
        <v>0.03</v>
      </c>
      <c r="I56" s="157" t="n">
        <v>2</v>
      </c>
      <c r="J56" s="133" t="n">
        <f aca="false">H56*F56*IF(I56=1,Технический!$C$26,Технический!$C$27)</f>
        <v>3.01916906557377</v>
      </c>
      <c r="K56" s="160" t="n">
        <f aca="false">J56/G56</f>
        <v>0.301916906557377</v>
      </c>
      <c r="L56" s="118" t="n">
        <f aca="false">1-K56/Тарифы!$G$19</f>
        <v>0.161270239925228</v>
      </c>
      <c r="M56" s="161" t="n">
        <f aca="false">Тарифы!C$18/$G56</f>
        <v>117.5</v>
      </c>
      <c r="N56" s="161" t="n">
        <f aca="false">Тарифы!D$18/$G56</f>
        <v>440</v>
      </c>
      <c r="O56" s="161" t="n">
        <f aca="false">Тарифы!E$18/$G56</f>
        <v>1030</v>
      </c>
      <c r="P56" s="161" t="n">
        <f aca="false">Тарифы!F$18/$G56</f>
        <v>1590</v>
      </c>
      <c r="Q56" s="161" t="n">
        <f aca="false">Тарифы!G$18/$G56</f>
        <v>3250</v>
      </c>
      <c r="R56" s="162" t="n">
        <v>2</v>
      </c>
      <c r="S56" s="40" t="n">
        <f aca="false">IF(ISNUMBER($R56),Технический!C$108/$R56,"")</f>
        <v>130</v>
      </c>
      <c r="T56" s="40" t="n">
        <f aca="false">IF(ISNUMBER($R56),Технический!D$108/$R56,"")</f>
        <v>342.75</v>
      </c>
      <c r="U56" s="40" t="n">
        <f aca="false">IF(ISNUMBER($R56),Технический!E$108/$R56,"")</f>
        <v>850</v>
      </c>
      <c r="V56" s="40" t="n">
        <f aca="false">IF(ISNUMBER($R56),Технический!F$108/$R56,"")</f>
        <v>1300</v>
      </c>
      <c r="W56" s="40" t="n">
        <f aca="false">IF(ISNUMBER($R56),Технический!G$108/$R56,"")</f>
        <v>1500</v>
      </c>
      <c r="X56" s="162" t="n">
        <v>2</v>
      </c>
      <c r="Y56" s="43" t="n">
        <f aca="false">IF(ISNUMBER($X56),Технический!$I$112/$X56,"")</f>
        <v>135</v>
      </c>
      <c r="Z56" s="43" t="n">
        <f aca="false">IF(ISNUMBER($X56),Технический!$I$110/$X56,"")</f>
        <v>600</v>
      </c>
      <c r="AA56" s="43" t="n">
        <f aca="false">IF(ISNUMBER($X56),Технический!$I$111/$X56,"")</f>
        <v>1500</v>
      </c>
      <c r="AB56" s="163" t="n">
        <f aca="false">IFERROR(AVERAGE((M56/$C$7)/((Технический!$C$108/$R56)/Технический!$C$107),(N56/$D$7)/((Технический!$D$108/$R56)/Технический!$D$107),(O56/$E$7)/((Технический!$E$108/$R56)/Технический!$E$107),(P56/$F$7)/((Технический!$F$108/$R56)/Технический!$F$107),(Q56/$G$7)/((Технический!$G$108/$R56)/Технический!$G$107))-1,"")</f>
        <v>0.483041029395793</v>
      </c>
      <c r="AC56" s="1" t="n">
        <v>2.7</v>
      </c>
      <c r="AD56" s="1" t="n">
        <f aca="false">AC56/G56</f>
        <v>0.27</v>
      </c>
      <c r="AE56" s="1" t="n">
        <f aca="false">(Тарифы!$G$19-AD56)/Тарифы!$G$19</f>
        <v>0.249935891956577</v>
      </c>
    </row>
    <row r="57" customFormat="false" ht="15" hidden="false" customHeight="true" outlineLevel="0" collapsed="false">
      <c r="B57" s="117" t="s">
        <v>237</v>
      </c>
      <c r="C57" s="138" t="s">
        <v>202</v>
      </c>
      <c r="D57" s="131" t="s">
        <v>973</v>
      </c>
      <c r="E57" s="127" t="n">
        <f aca="false">G57/F57</f>
        <v>40</v>
      </c>
      <c r="F57" s="157" t="n">
        <v>1</v>
      </c>
      <c r="G57" s="158" t="n">
        <v>40</v>
      </c>
      <c r="H57" s="159" t="n">
        <v>0.08</v>
      </c>
      <c r="I57" s="157" t="n">
        <v>1</v>
      </c>
      <c r="J57" s="133" t="n">
        <f aca="false">H57*F57*IF(I57=1,Технический!$C$26,Технический!$C$27)</f>
        <v>8.49392897114754</v>
      </c>
      <c r="K57" s="160" t="n">
        <f aca="false">J57/G57</f>
        <v>0.212348224278689</v>
      </c>
      <c r="L57" s="118" t="n">
        <f aca="false">1-K57/Тарифы!$G$19</f>
        <v>0.410093402080744</v>
      </c>
      <c r="M57" s="161" t="n">
        <f aca="false">Тарифы!C$18/$G57</f>
        <v>29.375</v>
      </c>
      <c r="N57" s="161" t="n">
        <f aca="false">Тарифы!D$18/$G57</f>
        <v>110</v>
      </c>
      <c r="O57" s="161" t="n">
        <f aca="false">Тарифы!E$18/$G57</f>
        <v>257.5</v>
      </c>
      <c r="P57" s="161" t="n">
        <f aca="false">Тарифы!F$18/$G57</f>
        <v>397.5</v>
      </c>
      <c r="Q57" s="161" t="n">
        <f aca="false">Тарифы!G$18/$G57</f>
        <v>812.5</v>
      </c>
      <c r="R57" s="164" t="s">
        <v>420</v>
      </c>
      <c r="S57" s="40" t="str">
        <f aca="false">IF(ISNUMBER($R57),Технический!C$108/$R57,"")</f>
        <v/>
      </c>
      <c r="T57" s="40" t="str">
        <f aca="false">IF(ISNUMBER($R57),Технический!D$108/$R57,"")</f>
        <v/>
      </c>
      <c r="U57" s="40" t="str">
        <f aca="false">IF(ISNUMBER($R57),Технический!E$108/$R57,"")</f>
        <v/>
      </c>
      <c r="V57" s="40" t="str">
        <f aca="false">IF(ISNUMBER($R57),Технический!F$108/$R57,"")</f>
        <v/>
      </c>
      <c r="W57" s="40" t="str">
        <f aca="false">IF(ISNUMBER($R57),Технический!G$108/$R57,"")</f>
        <v/>
      </c>
      <c r="X57" s="162" t="n">
        <v>2.5</v>
      </c>
      <c r="Y57" s="43" t="n">
        <f aca="false">IF(ISNUMBER($X57),Технический!$I$112/$X57,"")</f>
        <v>108</v>
      </c>
      <c r="Z57" s="43" t="n">
        <f aca="false">IF(ISNUMBER($X57),Технический!$I$110/$X57,"")</f>
        <v>480</v>
      </c>
      <c r="AA57" s="43" t="n">
        <f aca="false">IF(ISNUMBER($X57),Технический!$I$111/$X57,"")</f>
        <v>1200</v>
      </c>
      <c r="AB57" s="163" t="str">
        <f aca="false">IFERROR(AVERAGE((M57/$C$7)/((Технический!$C$108/$R57)/Технический!$C$107),(N57/$D$7)/((Технический!$D$108/$R57)/Технический!$D$107),(O57/$E$7)/((Технический!$E$108/$R57)/Технический!$E$107),(P57/$F$7)/((Технический!$F$108/$R57)/Технический!$F$107),(Q57/$G$7)/((Технический!$G$108/$R57)/Технический!$G$107))-1,"")</f>
        <v/>
      </c>
      <c r="AC57" s="1" t="s">
        <v>974</v>
      </c>
      <c r="AD57" s="1" t="s">
        <v>975</v>
      </c>
    </row>
    <row r="58" customFormat="false" ht="15" hidden="false" customHeight="true" outlineLevel="0" collapsed="false">
      <c r="B58" s="117" t="s">
        <v>210</v>
      </c>
      <c r="C58" s="138" t="s">
        <v>202</v>
      </c>
      <c r="D58" s="131" t="s">
        <v>973</v>
      </c>
      <c r="E58" s="127" t="n">
        <f aca="false">G58/F58</f>
        <v>8</v>
      </c>
      <c r="F58" s="157" t="n">
        <v>1</v>
      </c>
      <c r="G58" s="158" t="n">
        <v>8</v>
      </c>
      <c r="H58" s="159" t="n">
        <v>0.025</v>
      </c>
      <c r="I58" s="157" t="n">
        <v>2</v>
      </c>
      <c r="J58" s="133" t="n">
        <f aca="false">H58*F58*IF(I58=1,Технический!$C$26,Технический!$C$27)</f>
        <v>2.51597422131148</v>
      </c>
      <c r="K58" s="160" t="n">
        <f aca="false">J58/G58</f>
        <v>0.314496777663934</v>
      </c>
      <c r="L58" s="118" t="n">
        <f aca="false">1-K58/Тарифы!$G$19</f>
        <v>0.126323166588779</v>
      </c>
      <c r="M58" s="161" t="n">
        <f aca="false">Тарифы!C$18/$G58</f>
        <v>146.875</v>
      </c>
      <c r="N58" s="161" t="n">
        <f aca="false">Тарифы!D$18/$G58</f>
        <v>550</v>
      </c>
      <c r="O58" s="161" t="n">
        <f aca="false">Тарифы!E$18/$G58</f>
        <v>1287.5</v>
      </c>
      <c r="P58" s="161" t="n">
        <f aca="false">Тарифы!F$18/$G58</f>
        <v>1987.5</v>
      </c>
      <c r="Q58" s="161" t="n">
        <f aca="false">Тарифы!G$18/$G58</f>
        <v>4062.5</v>
      </c>
      <c r="R58" s="162" t="n">
        <v>1.3</v>
      </c>
      <c r="S58" s="40" t="n">
        <f aca="false">IF(ISNUMBER($R58),Технический!C$108/$R58,"")</f>
        <v>200</v>
      </c>
      <c r="T58" s="40" t="n">
        <f aca="false">IF(ISNUMBER($R58),Технический!D$108/$R58,"")</f>
        <v>527.307692307692</v>
      </c>
      <c r="U58" s="40" t="n">
        <f aca="false">IF(ISNUMBER($R58),Технический!E$108/$R58,"")</f>
        <v>1307.69230769231</v>
      </c>
      <c r="V58" s="40" t="n">
        <f aca="false">IF(ISNUMBER($R58),Технический!F$108/$R58,"")</f>
        <v>2000</v>
      </c>
      <c r="W58" s="40" t="n">
        <f aca="false">IF(ISNUMBER($R58),Технический!G$108/$R58,"")</f>
        <v>2307.69230769231</v>
      </c>
      <c r="X58" s="162" t="n">
        <v>1</v>
      </c>
      <c r="Y58" s="43" t="n">
        <f aca="false">IF(ISNUMBER($X58),Технический!$I$112/$X58,"")</f>
        <v>270</v>
      </c>
      <c r="Z58" s="43" t="n">
        <f aca="false">IF(ISNUMBER($X58),Технический!$I$110/$X58,"")</f>
        <v>1200</v>
      </c>
      <c r="AA58" s="43" t="n">
        <f aca="false">IF(ISNUMBER($X58),Технический!$I$111/$X58,"")</f>
        <v>3000</v>
      </c>
      <c r="AB58" s="163" t="n">
        <f aca="false">IFERROR(AVERAGE((M58/$C$7)/((Технический!$C$108/$R58)/Технический!$C$107),(N58/$D$7)/((Технический!$D$108/$R58)/Технический!$D$107),(O58/$E$7)/((Технический!$E$108/$R58)/Технический!$E$107),(P58/$F$7)/((Технический!$F$108/$R58)/Технический!$F$107),(Q58/$G$7)/((Технический!$G$108/$R58)/Технический!$G$107))-1,"")</f>
        <v>0.204970836384082</v>
      </c>
      <c r="AC58" s="1" t="s">
        <v>974</v>
      </c>
      <c r="AD58" s="1" t="s">
        <v>976</v>
      </c>
    </row>
    <row r="59" customFormat="false" ht="15" hidden="false" customHeight="true" outlineLevel="0" collapsed="false">
      <c r="B59" s="117" t="s">
        <v>209</v>
      </c>
      <c r="C59" s="138" t="s">
        <v>202</v>
      </c>
      <c r="D59" s="131" t="s">
        <v>973</v>
      </c>
      <c r="E59" s="127" t="n">
        <f aca="false">G59/F59</f>
        <v>17</v>
      </c>
      <c r="F59" s="157" t="n">
        <v>1</v>
      </c>
      <c r="G59" s="158" t="n">
        <v>17</v>
      </c>
      <c r="H59" s="159" t="n">
        <v>0.055</v>
      </c>
      <c r="I59" s="157" t="n">
        <v>2</v>
      </c>
      <c r="J59" s="133" t="n">
        <f aca="false">H59*F59*IF(I59=1,Технический!$C$26,Технический!$C$27)</f>
        <v>5.53514328688525</v>
      </c>
      <c r="K59" s="160" t="n">
        <f aca="false">J59/G59</f>
        <v>0.325596663934426</v>
      </c>
      <c r="L59" s="118" t="n">
        <f aca="false">1-K59/Тарифы!$G$19</f>
        <v>0.0954875136448541</v>
      </c>
      <c r="M59" s="161" t="n">
        <f aca="false">Тарифы!C$18/$G59</f>
        <v>69.1176470588235</v>
      </c>
      <c r="N59" s="161" t="n">
        <f aca="false">Тарифы!D$18/$G59</f>
        <v>258.823529411765</v>
      </c>
      <c r="O59" s="161" t="n">
        <f aca="false">Тарифы!E$18/$G59</f>
        <v>605.882352941177</v>
      </c>
      <c r="P59" s="161" t="n">
        <f aca="false">Тарифы!F$18/$G59</f>
        <v>935.294117647059</v>
      </c>
      <c r="Q59" s="161" t="n">
        <f aca="false">Тарифы!G$18/$G59</f>
        <v>1911.76470588235</v>
      </c>
      <c r="R59" s="162" t="n">
        <v>3</v>
      </c>
      <c r="S59" s="40" t="n">
        <f aca="false">IF(ISNUMBER($R59),Технический!C$108/$R59,"")</f>
        <v>86.6666666666667</v>
      </c>
      <c r="T59" s="40" t="n">
        <f aca="false">IF(ISNUMBER($R59),Технический!D$108/$R59,"")</f>
        <v>228.5</v>
      </c>
      <c r="U59" s="40" t="n">
        <f aca="false">IF(ISNUMBER($R59),Технический!E$108/$R59,"")</f>
        <v>566.666666666667</v>
      </c>
      <c r="V59" s="40" t="n">
        <f aca="false">IF(ISNUMBER($R59),Технический!F$108/$R59,"")</f>
        <v>866.666666666667</v>
      </c>
      <c r="W59" s="40" t="n">
        <f aca="false">IF(ISNUMBER($R59),Технический!G$108/$R59,"")</f>
        <v>1000</v>
      </c>
      <c r="X59" s="162" t="n">
        <v>2</v>
      </c>
      <c r="Y59" s="43" t="n">
        <f aca="false">IF(ISNUMBER($X59),Технический!$I$112/$X59,"")</f>
        <v>135</v>
      </c>
      <c r="Z59" s="43" t="n">
        <f aca="false">IF(ISNUMBER($X59),Технический!$I$110/$X59,"")</f>
        <v>600</v>
      </c>
      <c r="AA59" s="43" t="n">
        <f aca="false">IF(ISNUMBER($X59),Технический!$I$111/$X59,"")</f>
        <v>1500</v>
      </c>
      <c r="AB59" s="163" t="n">
        <f aca="false">IFERROR(AVERAGE((M59/$C$7)/((Технический!$C$108/$R59)/Технический!$C$107),(N59/$D$7)/((Технический!$D$108/$R59)/Технический!$D$107),(O59/$E$7)/((Технический!$E$108/$R59)/Технический!$E$107),(P59/$F$7)/((Технический!$F$108/$R59)/Технический!$F$107),(Q59/$G$7)/((Технический!$G$108/$R59)/Технический!$G$107))-1,"")</f>
        <v>0.308565614172758</v>
      </c>
      <c r="AC59" s="1" t="s">
        <v>974</v>
      </c>
      <c r="AD59" s="1" t="s">
        <v>976</v>
      </c>
    </row>
    <row r="60" customFormat="false" ht="15" hidden="false" customHeight="true" outlineLevel="0" collapsed="false">
      <c r="B60" s="117" t="s">
        <v>212</v>
      </c>
      <c r="C60" s="138" t="s">
        <v>202</v>
      </c>
      <c r="D60" s="131" t="s">
        <v>973</v>
      </c>
      <c r="E60" s="127" t="n">
        <f aca="false">G60/F60</f>
        <v>31</v>
      </c>
      <c r="F60" s="157" t="n">
        <v>1</v>
      </c>
      <c r="G60" s="158" t="n">
        <v>31</v>
      </c>
      <c r="H60" s="159" t="n">
        <v>0.09</v>
      </c>
      <c r="I60" s="157" t="n">
        <v>2</v>
      </c>
      <c r="J60" s="133" t="n">
        <f aca="false">H60*F60*IF(I60=1,Технический!$C$26,Технический!$C$27)</f>
        <v>9.05750719672131</v>
      </c>
      <c r="K60" s="160" t="n">
        <f aca="false">J60/G60</f>
        <v>0.292177651507139</v>
      </c>
      <c r="L60" s="118" t="n">
        <f aca="false">1-K60/Тарифы!$G$19</f>
        <v>0.188326038637318</v>
      </c>
      <c r="M60" s="161" t="n">
        <f aca="false">Тарифы!C$18/$G60</f>
        <v>37.9032258064516</v>
      </c>
      <c r="N60" s="161" t="n">
        <f aca="false">Тарифы!D$18/$G60</f>
        <v>141.935483870968</v>
      </c>
      <c r="O60" s="161" t="n">
        <f aca="false">Тарифы!E$18/$G60</f>
        <v>332.258064516129</v>
      </c>
      <c r="P60" s="161" t="n">
        <f aca="false">Тарифы!F$18/$G60</f>
        <v>512.903225806452</v>
      </c>
      <c r="Q60" s="161" t="n">
        <f aca="false">Тарифы!G$18/$G60</f>
        <v>1048.38709677419</v>
      </c>
      <c r="R60" s="162" t="n">
        <v>2</v>
      </c>
      <c r="S60" s="40" t="n">
        <f aca="false">IF(ISNUMBER($R60),Технический!C$108/$R60,"")</f>
        <v>130</v>
      </c>
      <c r="T60" s="40" t="n">
        <f aca="false">IF(ISNUMBER($R60),Технический!D$108/$R60,"")</f>
        <v>342.75</v>
      </c>
      <c r="U60" s="40" t="n">
        <f aca="false">IF(ISNUMBER($R60),Технический!E$108/$R60,"")</f>
        <v>850</v>
      </c>
      <c r="V60" s="40" t="n">
        <f aca="false">IF(ISNUMBER($R60),Технический!F$108/$R60,"")</f>
        <v>1300</v>
      </c>
      <c r="W60" s="40" t="n">
        <f aca="false">IF(ISNUMBER($R60),Технический!G$108/$R60,"")</f>
        <v>1500</v>
      </c>
      <c r="X60" s="162" t="n">
        <v>2</v>
      </c>
      <c r="Y60" s="43" t="n">
        <f aca="false">IF(ISNUMBER($X60),Технический!$I$112/$X60,"")</f>
        <v>135</v>
      </c>
      <c r="Z60" s="43" t="n">
        <f aca="false">IF(ISNUMBER($X60),Технический!$I$110/$X60,"")</f>
        <v>600</v>
      </c>
      <c r="AA60" s="43" t="n">
        <f aca="false">IF(ISNUMBER($X60),Технический!$I$111/$X60,"")</f>
        <v>1500</v>
      </c>
      <c r="AB60" s="163" t="n">
        <f aca="false">IFERROR(AVERAGE((M60/$C$7)/((Технический!$C$108/$R60)/Технический!$C$107),(N60/$D$7)/((Технический!$D$108/$R60)/Технический!$D$107),(O60/$E$7)/((Технический!$E$108/$R60)/Технический!$E$107),(P60/$F$7)/((Технический!$F$108/$R60)/Технический!$F$107),(Q60/$G$7)/((Технический!$G$108/$R60)/Технический!$G$107))-1,"")</f>
        <v>-0.521599667936841</v>
      </c>
      <c r="AC60" s="1" t="n">
        <v>10.9</v>
      </c>
      <c r="AD60" s="1" t="n">
        <f aca="false">AC60/G60</f>
        <v>0.351612903225806</v>
      </c>
      <c r="AE60" s="1" t="n">
        <f aca="false">(Тарифы!$G$19-AD60)/Тарифы!$G$19</f>
        <v>0.0232140050569527</v>
      </c>
    </row>
    <row r="61" customFormat="false" ht="15" hidden="false" customHeight="true" outlineLevel="0" collapsed="false">
      <c r="B61" s="117" t="s">
        <v>977</v>
      </c>
      <c r="C61" s="131" t="s">
        <v>202</v>
      </c>
      <c r="D61" s="131" t="s">
        <v>973</v>
      </c>
      <c r="E61" s="165" t="n">
        <f aca="false">G61/F61</f>
        <v>50</v>
      </c>
      <c r="F61" s="165" t="n">
        <v>1</v>
      </c>
      <c r="G61" s="125" t="n">
        <v>50</v>
      </c>
      <c r="H61" s="159" t="n">
        <v>0.03</v>
      </c>
      <c r="I61" s="165" t="n">
        <v>2</v>
      </c>
      <c r="J61" s="133" t="n">
        <f aca="false">H61*F61*IF(I61=1,Технический!$C$26,Технический!$C$27)</f>
        <v>3.01916906557377</v>
      </c>
      <c r="K61" s="160" t="n">
        <f aca="false">J61/G61</f>
        <v>0.0603833813114754</v>
      </c>
      <c r="L61" s="118" t="n">
        <f aca="false">1-K61/Тарифы!$G$19</f>
        <v>0.832254047985046</v>
      </c>
      <c r="M61" s="161" t="n">
        <f aca="false">Тарифы!C$18/$G61</f>
        <v>23.5</v>
      </c>
      <c r="N61" s="161" t="n">
        <f aca="false">Тарифы!D$18/$G61</f>
        <v>88</v>
      </c>
      <c r="O61" s="161" t="n">
        <f aca="false">Тарифы!E$18/$G61</f>
        <v>206</v>
      </c>
      <c r="P61" s="161" t="n">
        <f aca="false">Тарифы!F$18/$G61</f>
        <v>318</v>
      </c>
      <c r="Q61" s="161" t="n">
        <f aca="false">Тарифы!G$18/$G61</f>
        <v>650</v>
      </c>
      <c r="R61" s="164" t="s">
        <v>420</v>
      </c>
      <c r="S61" s="40" t="str">
        <f aca="false">IF(ISNUMBER($R61),Технический!C$108/$R61,"")</f>
        <v/>
      </c>
      <c r="T61" s="40" t="str">
        <f aca="false">IF(ISNUMBER($R61),Технический!D$108/$R61,"")</f>
        <v/>
      </c>
      <c r="U61" s="40" t="str">
        <f aca="false">IF(ISNUMBER($R61),Технический!E$108/$R61,"")</f>
        <v/>
      </c>
      <c r="V61" s="40" t="str">
        <f aca="false">IF(ISNUMBER($R61),Технический!F$108/$R61,"")</f>
        <v/>
      </c>
      <c r="W61" s="40" t="str">
        <f aca="false">IF(ISNUMBER($R61),Технический!G$108/$R61,"")</f>
        <v/>
      </c>
      <c r="X61" s="162" t="n">
        <v>1.5</v>
      </c>
      <c r="Y61" s="43" t="n">
        <f aca="false">IF(ISNUMBER($X61),Технический!$I$112/$X61,"")</f>
        <v>180</v>
      </c>
      <c r="Z61" s="43" t="n">
        <f aca="false">IF(ISNUMBER($X61),Технический!$I$110/$X61,"")</f>
        <v>800</v>
      </c>
      <c r="AA61" s="43" t="n">
        <f aca="false">IF(ISNUMBER($X61),Технический!$I$111/$X61,"")</f>
        <v>2000</v>
      </c>
      <c r="AB61" s="163" t="str">
        <f aca="false">IFERROR(AVERAGE((M61/$C$7)/((Технический!$C$108/$R61)/Технический!$C$107),(N61/$D$7)/((Технический!$D$108/$R61)/Технический!$D$107),(O61/$E$7)/((Технический!$E$108/$R61)/Технический!$E$107),(P61/$F$7)/((Технический!$F$108/$R61)/Технический!$F$107),(Q61/$G$7)/((Технический!$G$108/$R61)/Технический!$G$107))-1,"")</f>
        <v/>
      </c>
      <c r="AC61" s="1" t="n">
        <v>5.7</v>
      </c>
      <c r="AD61" s="1" t="n">
        <f aca="false">AC61/G61</f>
        <v>0.114</v>
      </c>
      <c r="AE61" s="1" t="n">
        <f aca="false">(Тарифы!$G$19-AD61)/Тарифы!$G$19</f>
        <v>0.683306265492777</v>
      </c>
    </row>
    <row r="62" customFormat="false" ht="15" hidden="false" customHeight="true" outlineLevel="0" collapsed="false">
      <c r="B62" s="117" t="s">
        <v>978</v>
      </c>
      <c r="C62" s="138" t="s">
        <v>202</v>
      </c>
      <c r="D62" s="131" t="s">
        <v>973</v>
      </c>
      <c r="E62" s="127" t="n">
        <f aca="false">G62/F62</f>
        <v>15</v>
      </c>
      <c r="F62" s="157" t="n">
        <v>1</v>
      </c>
      <c r="G62" s="158" t="n">
        <v>15</v>
      </c>
      <c r="H62" s="159" t="n">
        <v>0.0325</v>
      </c>
      <c r="I62" s="157" t="n">
        <v>2</v>
      </c>
      <c r="J62" s="133" t="n">
        <f aca="false">H62*F62*IF(I62=1,Технический!$C$26,Технический!$C$27)</f>
        <v>3.27076648770492</v>
      </c>
      <c r="K62" s="160" t="n">
        <f aca="false">J62/G62</f>
        <v>0.218051099180328</v>
      </c>
      <c r="L62" s="118" t="n">
        <f aca="false">1-K62/Тарифы!$G$19</f>
        <v>0.394250728834887</v>
      </c>
      <c r="M62" s="161" t="n">
        <f aca="false">Тарифы!C$18/$G62</f>
        <v>78.3333333333333</v>
      </c>
      <c r="N62" s="161" t="n">
        <f aca="false">Тарифы!D$18/$G62</f>
        <v>293.333333333333</v>
      </c>
      <c r="O62" s="161" t="n">
        <f aca="false">Тарифы!E$18/$G62</f>
        <v>686.666666666667</v>
      </c>
      <c r="P62" s="161" t="n">
        <f aca="false">Тарифы!F$18/$G62</f>
        <v>1060</v>
      </c>
      <c r="Q62" s="161" t="n">
        <f aca="false">Тарифы!G$18/$G62</f>
        <v>2166.66666666667</v>
      </c>
      <c r="R62" s="162" t="n">
        <v>2</v>
      </c>
      <c r="S62" s="40" t="n">
        <f aca="false">IF(ISNUMBER($R62),Технический!C$108/$R62,"")</f>
        <v>130</v>
      </c>
      <c r="T62" s="40" t="n">
        <f aca="false">IF(ISNUMBER($R62),Технический!D$108/$R62,"")</f>
        <v>342.75</v>
      </c>
      <c r="U62" s="40" t="n">
        <f aca="false">IF(ISNUMBER($R62),Технический!E$108/$R62,"")</f>
        <v>850</v>
      </c>
      <c r="V62" s="40" t="n">
        <f aca="false">IF(ISNUMBER($R62),Технический!F$108/$R62,"")</f>
        <v>1300</v>
      </c>
      <c r="W62" s="40" t="n">
        <f aca="false">IF(ISNUMBER($R62),Технический!G$108/$R62,"")</f>
        <v>1500</v>
      </c>
      <c r="X62" s="162" t="n">
        <v>1</v>
      </c>
      <c r="Y62" s="43" t="n">
        <f aca="false">IF(ISNUMBER($X62),Технический!$I$112/$X62,"")</f>
        <v>270</v>
      </c>
      <c r="Z62" s="43" t="n">
        <f aca="false">IF(ISNUMBER($X62),Технический!$I$110/$X62,"")</f>
        <v>1200</v>
      </c>
      <c r="AA62" s="43" t="n">
        <f aca="false">IF(ISNUMBER($X62),Технический!$I$111/$X62,"")</f>
        <v>3000</v>
      </c>
      <c r="AB62" s="163" t="n">
        <f aca="false">IFERROR(AVERAGE((M62/$C$7)/((Технический!$C$108/$R62)/Технический!$C$107),(N62/$D$7)/((Технический!$D$108/$R62)/Технический!$D$107),(O62/$E$7)/((Технический!$E$108/$R62)/Технический!$E$107),(P62/$F$7)/((Технический!$F$108/$R62)/Технический!$F$107),(Q62/$G$7)/((Технический!$G$108/$R62)/Технический!$G$107))-1,"")</f>
        <v>-0.011305980402805</v>
      </c>
      <c r="AC62" s="1" t="n">
        <v>4.1</v>
      </c>
      <c r="AD62" s="1" t="n">
        <f aca="false">AC62/G62</f>
        <v>0.273333333333333</v>
      </c>
      <c r="AE62" s="1" t="n">
        <f aca="false">(Тарифы!$G$19-AD62)/Тарифы!$G$19</f>
        <v>0.240675841239992</v>
      </c>
    </row>
    <row r="63" customFormat="false" ht="15" hidden="false" customHeight="true" outlineLevel="0" collapsed="false">
      <c r="B63" s="149" t="s">
        <v>979</v>
      </c>
      <c r="C63" s="150"/>
      <c r="D63" s="166"/>
      <c r="E63" s="152"/>
      <c r="F63" s="153"/>
      <c r="G63" s="153"/>
      <c r="H63" s="150"/>
      <c r="I63" s="153"/>
      <c r="J63" s="152"/>
      <c r="K63" s="167"/>
      <c r="L63" s="168"/>
      <c r="M63" s="153"/>
      <c r="N63" s="153"/>
      <c r="O63" s="153"/>
      <c r="P63" s="153"/>
      <c r="Q63" s="153"/>
      <c r="R63" s="153"/>
      <c r="S63" s="153"/>
      <c r="T63" s="153"/>
      <c r="U63" s="153"/>
      <c r="V63" s="153"/>
      <c r="W63" s="153"/>
      <c r="X63" s="156"/>
      <c r="Y63" s="156"/>
      <c r="Z63" s="156"/>
      <c r="AA63" s="156"/>
    </row>
    <row r="64" customFormat="false" ht="15" hidden="false" customHeight="true" outlineLevel="0" collapsed="false">
      <c r="B64" s="117" t="s">
        <v>595</v>
      </c>
      <c r="C64" s="138" t="s">
        <v>980</v>
      </c>
      <c r="D64" s="131" t="s">
        <v>422</v>
      </c>
      <c r="E64" s="127" t="n">
        <f aca="false">G64/F64</f>
        <v>46.4</v>
      </c>
      <c r="F64" s="157" t="n">
        <v>5</v>
      </c>
      <c r="G64" s="158" t="n">
        <v>232</v>
      </c>
      <c r="H64" s="159" t="n">
        <v>0.0988</v>
      </c>
      <c r="I64" s="157" t="n">
        <v>1</v>
      </c>
      <c r="J64" s="133" t="n">
        <f aca="false">H64*F64*IF(I64=1,Технический!$C$26,Технический!$C$27)</f>
        <v>52.4500113968361</v>
      </c>
      <c r="K64" s="160" t="n">
        <f aca="false">J64/G64</f>
        <v>0.22607763533119</v>
      </c>
      <c r="L64" s="118" t="n">
        <f aca="false">1-K64/Тарифы!$G$19</f>
        <v>0.37195288928424</v>
      </c>
      <c r="M64" s="161" t="n">
        <f aca="false">Тарифы!C$18/$G64</f>
        <v>5.06465517241379</v>
      </c>
      <c r="N64" s="161" t="n">
        <f aca="false">Тарифы!D$18/$G64</f>
        <v>18.9655172413793</v>
      </c>
      <c r="O64" s="161" t="n">
        <f aca="false">Тарифы!E$18/$G64</f>
        <v>44.3965517241379</v>
      </c>
      <c r="P64" s="161" t="n">
        <f aca="false">Тарифы!F$18/$G64</f>
        <v>68.5344827586207</v>
      </c>
      <c r="Q64" s="161" t="n">
        <f aca="false">Тарифы!G$18/$G64</f>
        <v>140.086206896552</v>
      </c>
      <c r="R64" s="162" t="n">
        <v>45</v>
      </c>
      <c r="S64" s="40" t="n">
        <f aca="false">IF(ISNUMBER($R64),Технический!C$108/$R64,"")</f>
        <v>5.77777777777778</v>
      </c>
      <c r="T64" s="40" t="n">
        <f aca="false">IF(ISNUMBER($R64),Технический!D$108/$R64,"")</f>
        <v>15.2333333333333</v>
      </c>
      <c r="U64" s="40" t="n">
        <f aca="false">IF(ISNUMBER($R64),Технический!E$108/$R64,"")</f>
        <v>37.7777777777778</v>
      </c>
      <c r="V64" s="40" t="n">
        <f aca="false">IF(ISNUMBER($R64),Технический!F$108/$R64,"")</f>
        <v>57.7777777777778</v>
      </c>
      <c r="W64" s="40" t="n">
        <f aca="false">IF(ISNUMBER($R64),Технический!G$108/$R64,"")</f>
        <v>66.6666666666667</v>
      </c>
      <c r="X64" s="162" t="n">
        <v>22.5</v>
      </c>
      <c r="Y64" s="43" t="n">
        <f aca="false">IF(ISNUMBER($X64),Технический!$I$112/$X64,"")</f>
        <v>12</v>
      </c>
      <c r="Z64" s="43" t="n">
        <f aca="false">IF(ISNUMBER($X64),Технический!$I$110/$X64,"")</f>
        <v>53.3333333333333</v>
      </c>
      <c r="AA64" s="43" t="n">
        <f aca="false">IF(ISNUMBER($X64),Технический!$I$111/$X64,"")</f>
        <v>133.333333333333</v>
      </c>
      <c r="AB64" s="163" t="n">
        <f aca="false">IFERROR(AVERAGE((M64/$C$7)/((Технический!$C$108/$R64)/Технический!$C$107),(N64/$D$7)/((Технический!$D$108/$R64)/Технический!$D$107),(O64/$E$7)/((Технический!$E$108/$R64)/Технический!$E$107),(P64/$F$7)/((Технический!$F$108/$R64)/Технический!$F$107),(Q64/$G$7)/((Технический!$G$108/$R64)/Технический!$G$107))-1,"")</f>
        <v>0.438294101784712</v>
      </c>
      <c r="AC64" s="1" t="n">
        <v>63.4</v>
      </c>
      <c r="AD64" s="1" t="n">
        <f aca="false">AC64/G64</f>
        <v>0.273275862068966</v>
      </c>
      <c r="AE64" s="1" t="n">
        <f aca="false">(Тарифы!$G$19-AD64)/Тарифы!$G$19</f>
        <v>0.24083549728683</v>
      </c>
    </row>
    <row r="65" customFormat="false" ht="24" hidden="false" customHeight="true" outlineLevel="0" collapsed="false">
      <c r="B65" s="169" t="s">
        <v>449</v>
      </c>
      <c r="C65" s="131" t="s">
        <v>980</v>
      </c>
      <c r="D65" s="131" t="s">
        <v>422</v>
      </c>
      <c r="E65" s="165" t="n">
        <f aca="false">G65/F65</f>
        <v>46.4</v>
      </c>
      <c r="F65" s="165" t="n">
        <v>5</v>
      </c>
      <c r="G65" s="125" t="n">
        <v>232</v>
      </c>
      <c r="H65" s="159" t="n">
        <v>0.0988</v>
      </c>
      <c r="I65" s="165" t="n">
        <v>1</v>
      </c>
      <c r="J65" s="133" t="n">
        <f aca="false">H65*F65*IF(I65=1,Технический!$C$26,Технический!$C$27)</f>
        <v>52.4500113968361</v>
      </c>
      <c r="K65" s="160" t="n">
        <f aca="false">J65/G65</f>
        <v>0.22607763533119</v>
      </c>
      <c r="L65" s="118" t="n">
        <f aca="false">1-K65/Тарифы!$G$19</f>
        <v>0.37195288928424</v>
      </c>
      <c r="M65" s="161" t="n">
        <f aca="false">Тарифы!C$18/$G65</f>
        <v>5.06465517241379</v>
      </c>
      <c r="N65" s="161" t="n">
        <f aca="false">Тарифы!D$18/$G65</f>
        <v>18.9655172413793</v>
      </c>
      <c r="O65" s="161" t="n">
        <f aca="false">Тарифы!E$18/$G65</f>
        <v>44.3965517241379</v>
      </c>
      <c r="P65" s="161" t="n">
        <f aca="false">Тарифы!F$18/$G65</f>
        <v>68.5344827586207</v>
      </c>
      <c r="Q65" s="161" t="n">
        <f aca="false">Тарифы!G$18/$G65</f>
        <v>140.086206896552</v>
      </c>
      <c r="R65" s="162" t="n">
        <v>45</v>
      </c>
      <c r="S65" s="40" t="n">
        <f aca="false">IF(ISNUMBER($R65),Технический!C$108/$R65,"")</f>
        <v>5.77777777777778</v>
      </c>
      <c r="T65" s="40" t="n">
        <f aca="false">IF(ISNUMBER($R65),Технический!D$108/$R65,"")</f>
        <v>15.2333333333333</v>
      </c>
      <c r="U65" s="40" t="n">
        <f aca="false">IF(ISNUMBER($R65),Технический!E$108/$R65,"")</f>
        <v>37.7777777777778</v>
      </c>
      <c r="V65" s="40" t="n">
        <f aca="false">IF(ISNUMBER($R65),Технический!F$108/$R65,"")</f>
        <v>57.7777777777778</v>
      </c>
      <c r="W65" s="40" t="n">
        <f aca="false">IF(ISNUMBER($R65),Технический!G$108/$R65,"")</f>
        <v>66.6666666666667</v>
      </c>
      <c r="X65" s="162" t="n">
        <v>22.5</v>
      </c>
      <c r="Y65" s="43" t="n">
        <f aca="false">IF(ISNUMBER($X65),Технический!$I$112/$X65,"")</f>
        <v>12</v>
      </c>
      <c r="Z65" s="43" t="n">
        <f aca="false">IF(ISNUMBER($X65),Технический!$I$110/$X65,"")</f>
        <v>53.3333333333333</v>
      </c>
      <c r="AA65" s="43" t="n">
        <f aca="false">IF(ISNUMBER($X65),Технический!$I$111/$X65,"")</f>
        <v>133.333333333333</v>
      </c>
      <c r="AB65" s="163" t="n">
        <f aca="false">IFERROR(AVERAGE((M65/$C$7)/((Технический!$C$108/$R65)/Технический!$C$107),(N65/$D$7)/((Технический!$D$108/$R65)/Технический!$D$107),(O65/$E$7)/((Технический!$E$108/$R65)/Технический!$E$107),(P65/$F$7)/((Технический!$F$108/$R65)/Технический!$F$107),(Q65/$G$7)/((Технический!$G$108/$R65)/Технический!$G$107))-1,"")</f>
        <v>0.438294101784712</v>
      </c>
      <c r="AC65" s="1" t="n">
        <v>50.9</v>
      </c>
      <c r="AD65" s="1" t="n">
        <f aca="false">AC65/G65</f>
        <v>0.219396551724138</v>
      </c>
      <c r="AE65" s="1" t="n">
        <f aca="false">(Тарифы!$G$19-AD65)/Тарифы!$G$19</f>
        <v>0.390513041197155</v>
      </c>
    </row>
    <row r="66" customFormat="false" ht="15" hidden="false" customHeight="true" outlineLevel="0" collapsed="false">
      <c r="B66" s="117" t="s">
        <v>981</v>
      </c>
      <c r="C66" s="131" t="s">
        <v>980</v>
      </c>
      <c r="D66" s="131" t="s">
        <v>149</v>
      </c>
      <c r="E66" s="165" t="n">
        <f aca="false">G66/F66</f>
        <v>850</v>
      </c>
      <c r="F66" s="165" t="n">
        <v>1</v>
      </c>
      <c r="G66" s="125" t="n">
        <v>850</v>
      </c>
      <c r="H66" s="159" t="n">
        <v>1.25</v>
      </c>
      <c r="I66" s="165" t="n">
        <v>2</v>
      </c>
      <c r="J66" s="133" t="n">
        <f aca="false">H66*F66*IF(I66=1,Технический!$C$26,Технический!$C$27)</f>
        <v>125.798711065574</v>
      </c>
      <c r="K66" s="160" t="n">
        <f aca="false">J66/G66</f>
        <v>0.147998483606557</v>
      </c>
      <c r="L66" s="118" t="n">
        <f aca="false">1-K66/Тарифы!$G$19</f>
        <v>0.588857960747661</v>
      </c>
      <c r="M66" s="161" t="n">
        <f aca="false">Тарифы!M$18/$G66</f>
        <v>0</v>
      </c>
      <c r="N66" s="161" t="n">
        <f aca="false">Тарифы!N$18/$G66</f>
        <v>0</v>
      </c>
      <c r="O66" s="161" t="n">
        <f aca="false">Тарифы!O$18/$G66</f>
        <v>0</v>
      </c>
      <c r="P66" s="161" t="n">
        <f aca="false">Тарифы!P$18/$G66</f>
        <v>0</v>
      </c>
      <c r="Q66" s="161" t="n">
        <f aca="false">Тарифы!Q$18/$G66</f>
        <v>0</v>
      </c>
    </row>
    <row r="67" customFormat="false" ht="15" hidden="false" customHeight="true" outlineLevel="0" collapsed="false">
      <c r="B67" s="117" t="s">
        <v>982</v>
      </c>
      <c r="C67" s="131" t="s">
        <v>980</v>
      </c>
      <c r="D67" s="131" t="s">
        <v>149</v>
      </c>
      <c r="E67" s="165" t="n">
        <f aca="false">G67/F67</f>
        <v>213</v>
      </c>
      <c r="F67" s="165" t="n">
        <v>1</v>
      </c>
      <c r="G67" s="125" t="n">
        <v>213</v>
      </c>
      <c r="H67" s="159" t="n">
        <v>0.3</v>
      </c>
      <c r="I67" s="165" t="n">
        <v>2</v>
      </c>
      <c r="J67" s="133" t="n">
        <f aca="false">H67*F67*IF(I67=1,Технический!$C$26,Технический!$C$27)</f>
        <v>30.1916906557377</v>
      </c>
      <c r="K67" s="160" t="n">
        <f aca="false">J67/G67</f>
        <v>0.141745026552759</v>
      </c>
      <c r="L67" s="118" t="n">
        <f aca="false">1-K67/Тарифы!$G$19</f>
        <v>0.606230159589309</v>
      </c>
      <c r="M67" s="161" t="n">
        <f aca="false">Тарифы!M$18/$G67</f>
        <v>0</v>
      </c>
      <c r="N67" s="161" t="n">
        <f aca="false">Тарифы!N$18/$G67</f>
        <v>0</v>
      </c>
      <c r="O67" s="161" t="n">
        <f aca="false">Тарифы!O$18/$G67</f>
        <v>0</v>
      </c>
      <c r="P67" s="161" t="n">
        <f aca="false">Тарифы!P$18/$G67</f>
        <v>0</v>
      </c>
      <c r="Q67" s="161" t="n">
        <f aca="false">Тарифы!Q$18/$G67</f>
        <v>0</v>
      </c>
    </row>
    <row r="68" customFormat="false" ht="15" hidden="false" customHeight="true" outlineLevel="0" collapsed="false">
      <c r="B68" s="117" t="s">
        <v>983</v>
      </c>
      <c r="C68" s="131" t="s">
        <v>980</v>
      </c>
      <c r="D68" s="131" t="s">
        <v>149</v>
      </c>
      <c r="E68" s="165" t="n">
        <f aca="false">G68/F68</f>
        <v>107</v>
      </c>
      <c r="F68" s="165" t="n">
        <v>1</v>
      </c>
      <c r="G68" s="125" t="n">
        <v>107</v>
      </c>
      <c r="H68" s="159" t="n">
        <v>0.15</v>
      </c>
      <c r="I68" s="165" t="n">
        <v>2</v>
      </c>
      <c r="J68" s="133" t="n">
        <f aca="false">H68*F68*IF(I68=1,Технический!$C$26,Технический!$C$27)</f>
        <v>15.0958453278689</v>
      </c>
      <c r="K68" s="160" t="n">
        <f aca="false">J68/G68</f>
        <v>0.141082666615597</v>
      </c>
      <c r="L68" s="118" t="n">
        <f aca="false">1-K68/Тарифы!$G$19</f>
        <v>0.608070205572537</v>
      </c>
      <c r="M68" s="161" t="n">
        <f aca="false">Тарифы!M$18/$G68</f>
        <v>0</v>
      </c>
      <c r="N68" s="161" t="n">
        <f aca="false">Тарифы!N$18/$G68</f>
        <v>0</v>
      </c>
      <c r="O68" s="161" t="n">
        <f aca="false">Тарифы!O$18/$G68</f>
        <v>0</v>
      </c>
      <c r="P68" s="161" t="n">
        <f aca="false">Тарифы!P$18/$G68</f>
        <v>0</v>
      </c>
      <c r="Q68" s="161" t="n">
        <f aca="false">Тарифы!Q$18/$G68</f>
        <v>0</v>
      </c>
    </row>
    <row r="69" customFormat="false" ht="15" hidden="false" customHeight="true" outlineLevel="0" collapsed="false">
      <c r="B69" s="117" t="s">
        <v>984</v>
      </c>
      <c r="C69" s="131"/>
      <c r="D69" s="131"/>
      <c r="E69" s="165"/>
      <c r="F69" s="165"/>
      <c r="G69" s="125"/>
      <c r="H69" s="159"/>
      <c r="I69" s="165"/>
      <c r="J69" s="133"/>
      <c r="K69" s="160"/>
      <c r="L69" s="118"/>
      <c r="M69" s="161"/>
      <c r="N69" s="161"/>
      <c r="O69" s="161"/>
      <c r="P69" s="161"/>
      <c r="Q69" s="161"/>
      <c r="R69" s="162"/>
      <c r="S69" s="40"/>
      <c r="T69" s="40"/>
      <c r="U69" s="40"/>
      <c r="V69" s="40"/>
      <c r="W69" s="40"/>
      <c r="X69" s="162"/>
      <c r="Y69" s="43"/>
      <c r="Z69" s="43"/>
      <c r="AA69" s="43"/>
      <c r="AB69" s="163"/>
    </row>
    <row r="70" customFormat="false" ht="15" hidden="false" customHeight="true" outlineLevel="0" collapsed="false">
      <c r="B70" s="117" t="s">
        <v>985</v>
      </c>
      <c r="C70" s="131" t="s">
        <v>980</v>
      </c>
      <c r="D70" s="131" t="s">
        <v>422</v>
      </c>
      <c r="E70" s="165" t="n">
        <f aca="false">G70/F70</f>
        <v>7.5</v>
      </c>
      <c r="F70" s="165" t="n">
        <v>6</v>
      </c>
      <c r="G70" s="125" t="n">
        <v>45</v>
      </c>
      <c r="H70" s="159" t="n">
        <v>0.015</v>
      </c>
      <c r="I70" s="165" t="n">
        <v>2</v>
      </c>
      <c r="J70" s="133" t="n">
        <f aca="false">H70*F70*IF(I70=1,Технический!$C$26,Технический!$C$27)</f>
        <v>9.05750719672131</v>
      </c>
      <c r="K70" s="160" t="n">
        <f aca="false">J70/G70</f>
        <v>0.201277937704918</v>
      </c>
      <c r="L70" s="118" t="n">
        <f aca="false">1-K70/Тарифы!$G$19</f>
        <v>0.440846826616819</v>
      </c>
      <c r="M70" s="161" t="n">
        <f aca="false">Тарифы!C$18/$G70</f>
        <v>26.1111111111111</v>
      </c>
      <c r="N70" s="161" t="n">
        <f aca="false">Тарифы!D$18/$G70</f>
        <v>97.7777777777778</v>
      </c>
      <c r="O70" s="161" t="n">
        <f aca="false">Тарифы!E$18/$G70</f>
        <v>228.888888888889</v>
      </c>
      <c r="P70" s="161" t="n">
        <f aca="false">Тарифы!F$18/$G70</f>
        <v>353.333333333333</v>
      </c>
      <c r="Q70" s="161" t="n">
        <f aca="false">Тарифы!G$18/$G70</f>
        <v>722.222222222222</v>
      </c>
      <c r="R70" s="162" t="n">
        <v>8</v>
      </c>
      <c r="S70" s="40" t="n">
        <f aca="false">IF(ISNUMBER($R70),Технический!C$108/$R70,"")</f>
        <v>32.5</v>
      </c>
      <c r="T70" s="40" t="n">
        <f aca="false">IF(ISNUMBER($R70),Технический!D$108/$R70,"")</f>
        <v>85.6875</v>
      </c>
      <c r="U70" s="40" t="n">
        <f aca="false">IF(ISNUMBER($R70),Технический!E$108/$R70,"")</f>
        <v>212.5</v>
      </c>
      <c r="V70" s="40" t="n">
        <f aca="false">IF(ISNUMBER($R70),Технический!F$108/$R70,"")</f>
        <v>325</v>
      </c>
      <c r="W70" s="40" t="n">
        <f aca="false">IF(ISNUMBER($R70),Технический!G$108/$R70,"")</f>
        <v>375</v>
      </c>
      <c r="X70" s="162" t="n">
        <v>9</v>
      </c>
      <c r="Y70" s="43" t="n">
        <f aca="false">IF(ISNUMBER($X70),Технический!$I$112/$X70,"")</f>
        <v>30</v>
      </c>
      <c r="Z70" s="43" t="n">
        <f aca="false">IF(ISNUMBER($X70),Технический!$I$110/$X70,"")</f>
        <v>133.333333333333</v>
      </c>
      <c r="AA70" s="43" t="n">
        <f aca="false">IF(ISNUMBER($X70),Технический!$I$111/$X70,"")</f>
        <v>333.333333333333</v>
      </c>
      <c r="AB70" s="163" t="n">
        <f aca="false">IFERROR(AVERAGE((M70/$C$7)/((Технический!$C$108/$R70)/Технический!$C$107),(N70/$D$7)/((Технический!$D$108/$R70)/Технический!$D$107),(O70/$E$7)/((Технический!$E$108/$R70)/Технический!$E$107),(P70/$F$7)/((Технический!$F$108/$R70)/Технический!$F$107),(Q70/$G$7)/((Технический!$G$108/$R70)/Технический!$G$107))-1,"")</f>
        <v>0.31825869279626</v>
      </c>
      <c r="AC70" s="1" t="n">
        <v>38</v>
      </c>
      <c r="AD70" s="1" t="n">
        <f aca="false">AC70/G70</f>
        <v>0.844444444444444</v>
      </c>
      <c r="AE70" s="1" t="n">
        <f aca="false">(Тарифы!$G$19-AD70)/Тарифы!$G$19</f>
        <v>-1.34587951486832</v>
      </c>
      <c r="AF70" s="1" t="s">
        <v>986</v>
      </c>
    </row>
    <row r="71" customFormat="false" ht="15" hidden="false" customHeight="true" outlineLevel="0" collapsed="false">
      <c r="B71" s="117" t="s">
        <v>987</v>
      </c>
      <c r="C71" s="131" t="s">
        <v>980</v>
      </c>
      <c r="D71" s="131" t="s">
        <v>422</v>
      </c>
      <c r="E71" s="165" t="n">
        <f aca="false">G71/F71</f>
        <v>35.25</v>
      </c>
      <c r="F71" s="165" t="n">
        <v>8</v>
      </c>
      <c r="G71" s="125" t="n">
        <v>282</v>
      </c>
      <c r="H71" s="159" t="n">
        <v>0.06563</v>
      </c>
      <c r="I71" s="165" t="n">
        <v>2</v>
      </c>
      <c r="J71" s="133" t="n">
        <f aca="false">H71*F71*IF(I71=1,Технический!$C$26,Технический!$C$27)</f>
        <v>52.8394842062951</v>
      </c>
      <c r="K71" s="160" t="n">
        <f aca="false">J71/G71</f>
        <v>0.187374057469131</v>
      </c>
      <c r="L71" s="118" t="n">
        <f aca="false">1-K71/Тарифы!$G$19</f>
        <v>0.479472017459033</v>
      </c>
      <c r="M71" s="161" t="n">
        <f aca="false">Тарифы!C$18/$G71</f>
        <v>4.16666666666667</v>
      </c>
      <c r="N71" s="161" t="n">
        <f aca="false">Тарифы!D$18/$G71</f>
        <v>15.6028368794326</v>
      </c>
      <c r="O71" s="161" t="n">
        <f aca="false">Тарифы!E$18/$G71</f>
        <v>36.5248226950355</v>
      </c>
      <c r="P71" s="161" t="n">
        <f aca="false">Тарифы!F$18/$G71</f>
        <v>56.3829787234043</v>
      </c>
      <c r="Q71" s="161" t="n">
        <f aca="false">Тарифы!G$18/$G71</f>
        <v>115.248226950355</v>
      </c>
      <c r="R71" s="162" t="n">
        <v>28</v>
      </c>
      <c r="S71" s="40" t="n">
        <f aca="false">IF(ISNUMBER($R71),Технический!C$108/$R71,"")</f>
        <v>9.28571428571429</v>
      </c>
      <c r="T71" s="40" t="n">
        <f aca="false">IF(ISNUMBER($R71),Технический!D$108/$R71,"")</f>
        <v>24.4821428571429</v>
      </c>
      <c r="U71" s="40" t="n">
        <f aca="false">IF(ISNUMBER($R71),Технический!E$108/$R71,"")</f>
        <v>60.7142857142857</v>
      </c>
      <c r="V71" s="40" t="n">
        <f aca="false">IF(ISNUMBER($R71),Технический!F$108/$R71,"")</f>
        <v>92.8571428571429</v>
      </c>
      <c r="W71" s="40" t="n">
        <f aca="false">IF(ISNUMBER($R71),Технический!G$108/$R71,"")</f>
        <v>107.142857142857</v>
      </c>
      <c r="X71" s="162" t="n">
        <v>24</v>
      </c>
      <c r="Y71" s="43" t="n">
        <f aca="false">IF(ISNUMBER($X71),Технический!$I$112/$X71,"")</f>
        <v>11.25</v>
      </c>
      <c r="Z71" s="43" t="n">
        <f aca="false">IF(ISNUMBER($X71),Технический!$I$110/$X71,"")</f>
        <v>50</v>
      </c>
      <c r="AA71" s="43" t="n">
        <f aca="false">IF(ISNUMBER($X71),Технический!$I$111/$X71,"")</f>
        <v>125</v>
      </c>
      <c r="AB71" s="163" t="n">
        <f aca="false">IFERROR(AVERAGE((M71/$C$7)/((Технический!$C$108/$R71)/Технический!$C$107),(N71/$D$7)/((Технический!$D$108/$R71)/Технический!$D$107),(O71/$E$7)/((Технический!$E$108/$R71)/Технический!$E$107),(P71/$F$7)/((Технический!$F$108/$R71)/Технический!$F$107),(Q71/$G$7)/((Технический!$G$108/$R71)/Технический!$G$107))-1,"")</f>
        <v>-0.263738496044642</v>
      </c>
      <c r="AC71" s="1" t="n">
        <v>101.4</v>
      </c>
      <c r="AD71" s="1" t="n">
        <f aca="false">AC71/G71</f>
        <v>0.359574468085106</v>
      </c>
      <c r="AE71" s="1" t="n">
        <f aca="false">(Тарифы!$G$19-AD71)/Тарифы!$G$19</f>
        <v>0.0010966567428021</v>
      </c>
    </row>
    <row r="72" customFormat="false" ht="15" hidden="false" customHeight="true" outlineLevel="0" collapsed="false">
      <c r="B72" s="117" t="s">
        <v>988</v>
      </c>
      <c r="C72" s="131" t="s">
        <v>980</v>
      </c>
      <c r="D72" s="131" t="s">
        <v>403</v>
      </c>
      <c r="E72" s="165" t="n">
        <f aca="false">G72/F72</f>
        <v>128.4</v>
      </c>
      <c r="F72" s="165" t="n">
        <v>5</v>
      </c>
      <c r="G72" s="125" t="n">
        <v>642</v>
      </c>
      <c r="H72" s="159" t="n">
        <v>0.3402</v>
      </c>
      <c r="I72" s="165" t="n">
        <v>1</v>
      </c>
      <c r="J72" s="133" t="n">
        <f aca="false">H72*F72*IF(I72=1,Технический!$C$26,Технический!$C$27)</f>
        <v>180.602164749025</v>
      </c>
      <c r="K72" s="160" t="n">
        <f aca="false">J72/G72</f>
        <v>0.281311783098169</v>
      </c>
      <c r="L72" s="118" t="n">
        <f aca="false">1-K72/Тарифы!$G$19</f>
        <v>0.218511586401359</v>
      </c>
      <c r="M72" s="161" t="n">
        <f aca="false">Тарифы!C$18/$G72</f>
        <v>1.83021806853583</v>
      </c>
      <c r="N72" s="161" t="n">
        <f aca="false">Тарифы!D$18/$G72</f>
        <v>6.85358255451713</v>
      </c>
      <c r="O72" s="161" t="n">
        <f aca="false">Тарифы!E$18/$G72</f>
        <v>16.0436137071651</v>
      </c>
      <c r="P72" s="161" t="n">
        <f aca="false">Тарифы!F$18/$G72</f>
        <v>24.7663551401869</v>
      </c>
      <c r="Q72" s="161" t="n">
        <f aca="false">Тарифы!G$18/$G72</f>
        <v>50.6230529595016</v>
      </c>
      <c r="R72" s="162" t="n">
        <v>112.3</v>
      </c>
      <c r="S72" s="40" t="n">
        <f aca="false">IF(ISNUMBER($R72),Технический!C$108/$R72,"")</f>
        <v>2.31522707034728</v>
      </c>
      <c r="T72" s="40" t="n">
        <f aca="false">IF(ISNUMBER($R72),Технический!D$108/$R72,"")</f>
        <v>6.10418521816563</v>
      </c>
      <c r="U72" s="40" t="n">
        <f aca="false">IF(ISNUMBER($R72),Технический!E$108/$R72,"")</f>
        <v>15.1380231522707</v>
      </c>
      <c r="V72" s="40" t="n">
        <f aca="false">IF(ISNUMBER($R72),Технический!F$108/$R72,"")</f>
        <v>23.1522707034728</v>
      </c>
      <c r="W72" s="40" t="n">
        <f aca="false">IF(ISNUMBER($R72),Технический!G$108/$R72,"")</f>
        <v>26.7141585040071</v>
      </c>
      <c r="X72" s="162" t="n">
        <v>45</v>
      </c>
      <c r="Y72" s="43" t="n">
        <f aca="false">IF(ISNUMBER($X72),Технический!$I$112/$X72,"")</f>
        <v>6</v>
      </c>
      <c r="Z72" s="43" t="n">
        <f aca="false">IF(ISNUMBER($X72),Технический!$I$110/$X72,"")</f>
        <v>26.6666666666667</v>
      </c>
      <c r="AA72" s="43" t="n">
        <f aca="false">IF(ISNUMBER($X72),Технический!$I$111/$X72,"")</f>
        <v>66.6666666666667</v>
      </c>
      <c r="AB72" s="163" t="n">
        <f aca="false">IFERROR(AVERAGE((M72/$C$7)/((Технический!$C$108/$R72)/Технический!$C$107),(N72/$D$7)/((Технический!$D$108/$R72)/Технический!$D$107),(O72/$E$7)/((Технический!$E$108/$R72)/Технический!$E$107),(P72/$F$7)/((Технический!$F$108/$R72)/Технический!$F$107),(Q72/$G$7)/((Технический!$G$108/$R72)/Технический!$G$107))-1,"")</f>
        <v>0.297083392532301</v>
      </c>
      <c r="AC72" s="1" t="n">
        <v>231</v>
      </c>
      <c r="AD72" s="1" t="n">
        <f aca="false">AC72/G72</f>
        <v>0.35981308411215</v>
      </c>
      <c r="AE72" s="1" t="n">
        <f aca="false">(Тарифы!$G$19-AD72)/Тарифы!$G$19</f>
        <v>0.000433777789139286</v>
      </c>
    </row>
    <row r="73" customFormat="false" ht="15" hidden="false" customHeight="true" outlineLevel="0" collapsed="false">
      <c r="B73" s="117" t="s">
        <v>989</v>
      </c>
      <c r="C73" s="131" t="s">
        <v>980</v>
      </c>
      <c r="D73" s="131" t="s">
        <v>392</v>
      </c>
      <c r="E73" s="165" t="n">
        <f aca="false">G73/F73</f>
        <v>41.6</v>
      </c>
      <c r="F73" s="165" t="n">
        <v>5</v>
      </c>
      <c r="G73" s="125" t="n">
        <v>208</v>
      </c>
      <c r="H73" s="159" t="n">
        <v>0.122</v>
      </c>
      <c r="I73" s="165" t="n">
        <v>1</v>
      </c>
      <c r="J73" s="133" t="n">
        <f aca="false">H73*F73*IF(I73=1,Технический!$C$26,Технический!$C$27)</f>
        <v>64.766208405</v>
      </c>
      <c r="K73" s="160" t="n">
        <f aca="false">J73/G73</f>
        <v>0.311376001947115</v>
      </c>
      <c r="L73" s="118" t="n">
        <f aca="false">1-K73/Тарифы!$G$19</f>
        <v>0.134992729012629</v>
      </c>
      <c r="M73" s="161" t="n">
        <f aca="false">Тарифы!C$18/$G73</f>
        <v>5.64903846153846</v>
      </c>
      <c r="N73" s="161" t="n">
        <f aca="false">Тарифы!D$18/$G73</f>
        <v>21.1538461538462</v>
      </c>
      <c r="O73" s="161" t="n">
        <f aca="false">Тарифы!E$18/$G73</f>
        <v>49.5192307692308</v>
      </c>
      <c r="P73" s="161" t="n">
        <f aca="false">Тарифы!F$18/$G73</f>
        <v>76.4423076923077</v>
      </c>
      <c r="Q73" s="161" t="n">
        <f aca="false">Тарифы!G$18/$G73</f>
        <v>156.25</v>
      </c>
      <c r="R73" s="162" t="n">
        <v>36.3</v>
      </c>
      <c r="S73" s="40" t="n">
        <f aca="false">IF(ISNUMBER($R73),Технический!C$108/$R73,"")</f>
        <v>7.16253443526171</v>
      </c>
      <c r="T73" s="40" t="n">
        <f aca="false">IF(ISNUMBER($R73),Технический!D$108/$R73,"")</f>
        <v>18.8842975206612</v>
      </c>
      <c r="U73" s="40" t="n">
        <f aca="false">IF(ISNUMBER($R73),Технический!E$108/$R73,"")</f>
        <v>46.831955922865</v>
      </c>
      <c r="V73" s="40" t="n">
        <f aca="false">IF(ISNUMBER($R73),Технический!F$108/$R73,"")</f>
        <v>71.6253443526171</v>
      </c>
      <c r="W73" s="40" t="n">
        <f aca="false">IF(ISNUMBER($R73),Технический!G$108/$R73,"")</f>
        <v>82.6446280991736</v>
      </c>
      <c r="X73" s="162" t="n">
        <v>17.5</v>
      </c>
      <c r="Y73" s="43" t="n">
        <f aca="false">IF(ISNUMBER($X73),Технический!$I$112/$X73,"")</f>
        <v>15.4285714285714</v>
      </c>
      <c r="Z73" s="43" t="n">
        <f aca="false">IF(ISNUMBER($X73),Технический!$I$110/$X73,"")</f>
        <v>68.5714285714286</v>
      </c>
      <c r="AA73" s="43" t="n">
        <f aca="false">IF(ISNUMBER($X73),Технический!$I$111/$X73,"")</f>
        <v>171.428571428571</v>
      </c>
      <c r="AB73" s="163" t="n">
        <f aca="false">IFERROR(AVERAGE((M73/$C$7)/((Технический!$C$108/$R73)/Технический!$C$107),(N73/$D$7)/((Технический!$D$108/$R73)/Технический!$D$107),(O73/$E$7)/((Технический!$E$108/$R73)/Технический!$E$107),(P73/$F$7)/((Технический!$F$108/$R73)/Технический!$F$107),(Q73/$G$7)/((Технический!$G$108/$R73)/Технический!$G$107))-1,"")</f>
        <v>0.294095898246809</v>
      </c>
      <c r="AC73" s="1" t="n">
        <v>74.7</v>
      </c>
      <c r="AD73" s="1" t="n">
        <f aca="false">AC73/G73</f>
        <v>0.359134615384615</v>
      </c>
      <c r="AE73" s="1" t="n">
        <f aca="false">(Тарифы!$G$19-AD73)/Тарифы!$G$19</f>
        <v>0.00231857423711427</v>
      </c>
    </row>
    <row r="74" customFormat="false" ht="15" hidden="false" customHeight="true" outlineLevel="0" collapsed="false">
      <c r="B74" s="117" t="s">
        <v>990</v>
      </c>
      <c r="C74" s="131" t="s">
        <v>980</v>
      </c>
      <c r="D74" s="131" t="s">
        <v>422</v>
      </c>
      <c r="E74" s="165" t="n">
        <f aca="false">G74/F74</f>
        <v>60</v>
      </c>
      <c r="F74" s="165" t="n">
        <v>5</v>
      </c>
      <c r="G74" s="125" t="n">
        <v>300</v>
      </c>
      <c r="H74" s="159" t="n">
        <v>0.08</v>
      </c>
      <c r="I74" s="165" t="n">
        <v>2</v>
      </c>
      <c r="J74" s="133" t="n">
        <f aca="false">H74*F74*IF(I74=1,Технический!$C$26,Технический!$C$27)</f>
        <v>40.2555875409836</v>
      </c>
      <c r="K74" s="160" t="n">
        <f aca="false">J74/G74</f>
        <v>0.134185291803279</v>
      </c>
      <c r="L74" s="118" t="n">
        <f aca="false">1-K74/Тарифы!$G$19</f>
        <v>0.627231217744546</v>
      </c>
      <c r="M74" s="161" t="n">
        <f aca="false">Тарифы!M$18/$G74</f>
        <v>0</v>
      </c>
      <c r="N74" s="161" t="n">
        <f aca="false">Тарифы!N$18/$G74</f>
        <v>0</v>
      </c>
      <c r="O74" s="161" t="n">
        <f aca="false">Тарифы!O$18/$G74</f>
        <v>0</v>
      </c>
      <c r="P74" s="161" t="n">
        <f aca="false">Тарифы!P$18/$G74</f>
        <v>0</v>
      </c>
      <c r="Q74" s="161" t="n">
        <f aca="false">Тарифы!Q$18/$G74</f>
        <v>0</v>
      </c>
    </row>
    <row r="75" customFormat="false" ht="15" hidden="false" customHeight="true" outlineLevel="0" collapsed="false">
      <c r="B75" s="170" t="s">
        <v>991</v>
      </c>
      <c r="C75" s="171" t="s">
        <v>980</v>
      </c>
      <c r="D75" s="171" t="s">
        <v>422</v>
      </c>
      <c r="E75" s="172" t="n">
        <f aca="false">G75/F75</f>
        <v>70</v>
      </c>
      <c r="F75" s="172" t="n">
        <v>5</v>
      </c>
      <c r="G75" s="173" t="n">
        <v>350</v>
      </c>
      <c r="H75" s="174" t="n">
        <v>0.126</v>
      </c>
      <c r="I75" s="172" t="n">
        <v>1</v>
      </c>
      <c r="J75" s="175" t="n">
        <f aca="false">H75*F75*IF(I75=1,Технический!$C$26,Технический!$C$27)</f>
        <v>66.8896906477869</v>
      </c>
      <c r="K75" s="176" t="n">
        <f aca="false">J75/G75</f>
        <v>0.19111340185082</v>
      </c>
      <c r="L75" s="177" t="n">
        <f aca="false">1-K75/Тарифы!$G$19</f>
        <v>0.46908406187267</v>
      </c>
      <c r="M75" s="178" t="n">
        <f aca="false">Тарифы!C$18/$G75</f>
        <v>3.35714285714286</v>
      </c>
      <c r="N75" s="178" t="n">
        <f aca="false">Тарифы!D$18/$G75</f>
        <v>12.5714285714286</v>
      </c>
      <c r="O75" s="178" t="n">
        <f aca="false">Тарифы!E$18/$G75</f>
        <v>29.4285714285714</v>
      </c>
      <c r="P75" s="178" t="n">
        <f aca="false">Тарифы!F$18/$G75</f>
        <v>45.4285714285714</v>
      </c>
      <c r="Q75" s="178" t="n">
        <f aca="false">Тарифы!G$18/$G75</f>
        <v>92.8571428571429</v>
      </c>
      <c r="R75" s="162" t="n">
        <v>25</v>
      </c>
      <c r="S75" s="40" t="n">
        <f aca="false">IF(ISNUMBER($R75),Технический!C$108/$R75,"")</f>
        <v>10.4</v>
      </c>
      <c r="T75" s="40" t="n">
        <f aca="false">IF(ISNUMBER($R75),Технический!D$108/$R75,"")</f>
        <v>27.42</v>
      </c>
      <c r="U75" s="40" t="n">
        <f aca="false">IF(ISNUMBER($R75),Технический!E$108/$R75,"")</f>
        <v>68</v>
      </c>
      <c r="V75" s="40" t="n">
        <f aca="false">IF(ISNUMBER($R75),Технический!F$108/$R75,"")</f>
        <v>104</v>
      </c>
      <c r="W75" s="40" t="n">
        <f aca="false">IF(ISNUMBER($R75),Технический!G$108/$R75,"")</f>
        <v>120</v>
      </c>
      <c r="X75" s="162" t="n">
        <v>10</v>
      </c>
      <c r="Y75" s="43" t="n">
        <f aca="false">IF(ISNUMBER($X75),Технический!$I$112/$X75,"")</f>
        <v>27</v>
      </c>
      <c r="Z75" s="43" t="n">
        <f aca="false">IF(ISNUMBER($X75),Технический!$I$110/$X75,"")</f>
        <v>120</v>
      </c>
      <c r="AA75" s="43" t="n">
        <f aca="false">IF(ISNUMBER($X75),Технический!$I$111/$X75,"")</f>
        <v>300</v>
      </c>
      <c r="AC75" s="1" t="s">
        <v>974</v>
      </c>
      <c r="AD75" s="1" t="s">
        <v>992</v>
      </c>
    </row>
    <row r="76" customFormat="false" ht="15" hidden="false" customHeight="true" outlineLevel="0" collapsed="false">
      <c r="B76" s="117" t="s">
        <v>993</v>
      </c>
      <c r="C76" s="131" t="s">
        <v>980</v>
      </c>
      <c r="D76" s="131" t="s">
        <v>149</v>
      </c>
      <c r="E76" s="165" t="n">
        <f aca="false">G76/F76</f>
        <v>867</v>
      </c>
      <c r="F76" s="165" t="n">
        <v>1</v>
      </c>
      <c r="G76" s="125" t="n">
        <v>867</v>
      </c>
      <c r="H76" s="159" t="n">
        <v>1.275</v>
      </c>
      <c r="I76" s="165" t="n">
        <v>2</v>
      </c>
      <c r="J76" s="133" t="n">
        <f aca="false">H76*F76*IF(I76=1,Технический!$C$26,Технический!$C$27)</f>
        <v>128.314685286885</v>
      </c>
      <c r="K76" s="160" t="n">
        <f aca="false">J76/G76</f>
        <v>0.147998483606557</v>
      </c>
      <c r="L76" s="118" t="n">
        <f aca="false">1-K76/Тарифы!$G$19</f>
        <v>0.588857960747661</v>
      </c>
      <c r="M76" s="161" t="n">
        <f aca="false">Тарифы!M$18/$G76</f>
        <v>0</v>
      </c>
      <c r="N76" s="161" t="n">
        <f aca="false">Тарифы!N$18/$G76</f>
        <v>0</v>
      </c>
      <c r="O76" s="161" t="n">
        <f aca="false">Тарифы!O$18/$G76</f>
        <v>0</v>
      </c>
      <c r="P76" s="161" t="n">
        <f aca="false">Тарифы!P$18/$G76</f>
        <v>0</v>
      </c>
      <c r="Q76" s="161" t="n">
        <f aca="false">Тарифы!Q$18/$G76</f>
        <v>0</v>
      </c>
    </row>
    <row r="77" customFormat="false" ht="15" hidden="false" customHeight="true" outlineLevel="0" collapsed="false">
      <c r="B77" s="117" t="s">
        <v>994</v>
      </c>
      <c r="C77" s="131" t="s">
        <v>980</v>
      </c>
      <c r="D77" s="131" t="s">
        <v>149</v>
      </c>
      <c r="E77" s="165" t="n">
        <f aca="false">G77/F77</f>
        <v>1258</v>
      </c>
      <c r="F77" s="165" t="n">
        <v>1</v>
      </c>
      <c r="G77" s="125" t="n">
        <v>1258</v>
      </c>
      <c r="H77" s="159" t="n">
        <v>1.85</v>
      </c>
      <c r="I77" s="165" t="n">
        <v>2</v>
      </c>
      <c r="J77" s="133" t="n">
        <f aca="false">H77*F77*IF(I77=1,Технический!$C$26,Технический!$C$27)</f>
        <v>186.182092377049</v>
      </c>
      <c r="K77" s="160" t="n">
        <f aca="false">J77/G77</f>
        <v>0.147998483606557</v>
      </c>
      <c r="L77" s="118" t="n">
        <f aca="false">1-K77/Тарифы!$G$19</f>
        <v>0.588857960747661</v>
      </c>
      <c r="M77" s="161" t="n">
        <f aca="false">Тарифы!M$18/$G77</f>
        <v>0</v>
      </c>
      <c r="N77" s="161" t="n">
        <f aca="false">Тарифы!N$18/$G77</f>
        <v>0</v>
      </c>
      <c r="O77" s="161" t="n">
        <f aca="false">Тарифы!O$18/$G77</f>
        <v>0</v>
      </c>
      <c r="P77" s="161" t="n">
        <f aca="false">Тарифы!P$18/$G77</f>
        <v>0</v>
      </c>
      <c r="Q77" s="161" t="n">
        <f aca="false">Тарифы!Q$18/$G77</f>
        <v>0</v>
      </c>
    </row>
    <row r="78" customFormat="false" ht="15" hidden="false" customHeight="true" outlineLevel="0" collapsed="false">
      <c r="B78" s="117" t="s">
        <v>995</v>
      </c>
      <c r="C78" s="131" t="s">
        <v>980</v>
      </c>
      <c r="D78" s="131" t="s">
        <v>149</v>
      </c>
      <c r="E78" s="165" t="n">
        <f aca="false">G78/F78</f>
        <v>231</v>
      </c>
      <c r="F78" s="165" t="n">
        <v>1</v>
      </c>
      <c r="G78" s="125" t="n">
        <v>231</v>
      </c>
      <c r="H78" s="159" t="n">
        <v>0.325</v>
      </c>
      <c r="I78" s="165" t="n">
        <v>2</v>
      </c>
      <c r="J78" s="133" t="n">
        <f aca="false">H78*F78*IF(I78=1,Технический!$C$26,Технический!$C$27)</f>
        <v>32.7076648770492</v>
      </c>
      <c r="K78" s="160" t="n">
        <f aca="false">J78/G78</f>
        <v>0.141591622844369</v>
      </c>
      <c r="L78" s="118" t="n">
        <f aca="false">1-K78/Тарифы!$G$19</f>
        <v>0.606656317425251</v>
      </c>
      <c r="M78" s="161" t="n">
        <f aca="false">Тарифы!M$18/$G78</f>
        <v>0</v>
      </c>
      <c r="N78" s="161" t="n">
        <f aca="false">Тарифы!N$18/$G78</f>
        <v>0</v>
      </c>
      <c r="O78" s="161" t="n">
        <f aca="false">Тарифы!O$18/$G78</f>
        <v>0</v>
      </c>
      <c r="P78" s="161" t="n">
        <f aca="false">Тарифы!P$18/$G78</f>
        <v>0</v>
      </c>
      <c r="Q78" s="161" t="n">
        <f aca="false">Тарифы!Q$18/$G78</f>
        <v>0</v>
      </c>
    </row>
    <row r="79" customFormat="false" ht="15" hidden="false" customHeight="true" outlineLevel="0" collapsed="false">
      <c r="B79" s="117" t="s">
        <v>996</v>
      </c>
      <c r="C79" s="131" t="s">
        <v>980</v>
      </c>
      <c r="D79" s="131" t="s">
        <v>149</v>
      </c>
      <c r="E79" s="165" t="n">
        <f aca="false">G79/F79</f>
        <v>639</v>
      </c>
      <c r="F79" s="165" t="n">
        <v>1</v>
      </c>
      <c r="G79" s="125" t="n">
        <v>639</v>
      </c>
      <c r="H79" s="159" t="n">
        <v>0.9</v>
      </c>
      <c r="I79" s="165" t="n">
        <v>2</v>
      </c>
      <c r="J79" s="133" t="n">
        <f aca="false">H79*F79*IF(I79=1,Технический!$C$26,Технический!$C$27)</f>
        <v>90.5750719672131</v>
      </c>
      <c r="K79" s="160" t="n">
        <f aca="false">J79/G79</f>
        <v>0.141745026552759</v>
      </c>
      <c r="L79" s="118" t="n">
        <f aca="false">1-K79/Тарифы!$G$19</f>
        <v>0.606230159589309</v>
      </c>
      <c r="M79" s="161" t="n">
        <f aca="false">Тарифы!M$18/$G79</f>
        <v>0</v>
      </c>
      <c r="N79" s="161" t="n">
        <f aca="false">Тарифы!N$18/$G79</f>
        <v>0</v>
      </c>
      <c r="O79" s="161" t="n">
        <f aca="false">Тарифы!O$18/$G79</f>
        <v>0</v>
      </c>
      <c r="P79" s="161" t="n">
        <f aca="false">Тарифы!P$18/$G79</f>
        <v>0</v>
      </c>
      <c r="Q79" s="161" t="n">
        <f aca="false">Тарифы!Q$18/$G79</f>
        <v>0</v>
      </c>
    </row>
    <row r="80" customFormat="false" ht="15" hidden="false" customHeight="true" outlineLevel="0" collapsed="false">
      <c r="B80" s="117" t="s">
        <v>997</v>
      </c>
      <c r="C80" s="131" t="s">
        <v>980</v>
      </c>
      <c r="D80" s="131" t="s">
        <v>149</v>
      </c>
      <c r="E80" s="165" t="n">
        <f aca="false">G80/F80</f>
        <v>125</v>
      </c>
      <c r="F80" s="165" t="n">
        <v>1</v>
      </c>
      <c r="G80" s="125" t="n">
        <v>125</v>
      </c>
      <c r="H80" s="159" t="n">
        <v>0.175</v>
      </c>
      <c r="I80" s="165" t="n">
        <v>2</v>
      </c>
      <c r="J80" s="133" t="n">
        <f aca="false">H80*F80*IF(I80=1,Технический!$C$26,Технический!$C$27)</f>
        <v>17.6118195491803</v>
      </c>
      <c r="K80" s="160" t="n">
        <f aca="false">J80/G80</f>
        <v>0.140894556393443</v>
      </c>
      <c r="L80" s="118" t="n">
        <f aca="false">1-K80/Тарифы!$G$19</f>
        <v>0.608592778631773</v>
      </c>
      <c r="M80" s="161" t="n">
        <f aca="false">Тарифы!M$18/$G80</f>
        <v>0</v>
      </c>
      <c r="N80" s="161" t="n">
        <f aca="false">Тарифы!N$18/$G80</f>
        <v>0</v>
      </c>
      <c r="O80" s="161" t="n">
        <f aca="false">Тарифы!O$18/$G80</f>
        <v>0</v>
      </c>
      <c r="P80" s="161" t="n">
        <f aca="false">Тарифы!P$18/$G80</f>
        <v>0</v>
      </c>
      <c r="Q80" s="161" t="n">
        <f aca="false">Тарифы!Q$18/$G80</f>
        <v>0</v>
      </c>
    </row>
    <row r="81" customFormat="false" ht="15" hidden="false" customHeight="true" outlineLevel="0" collapsed="false">
      <c r="B81" s="117" t="s">
        <v>998</v>
      </c>
      <c r="C81" s="131" t="s">
        <v>980</v>
      </c>
      <c r="D81" s="131" t="s">
        <v>149</v>
      </c>
      <c r="E81" s="165" t="n">
        <f aca="false">G81/F81</f>
        <v>535</v>
      </c>
      <c r="F81" s="165" t="n">
        <v>1</v>
      </c>
      <c r="G81" s="125" t="n">
        <v>535</v>
      </c>
      <c r="H81" s="159" t="n">
        <v>0.75</v>
      </c>
      <c r="I81" s="165" t="n">
        <v>2</v>
      </c>
      <c r="J81" s="133" t="n">
        <f aca="false">H81*F81*IF(I81=1,Технический!$C$26,Технический!$C$27)</f>
        <v>75.4792266393443</v>
      </c>
      <c r="K81" s="160" t="n">
        <f aca="false">J81/G81</f>
        <v>0.141082666615597</v>
      </c>
      <c r="L81" s="118" t="n">
        <f aca="false">1-K81/Тарифы!$G$19</f>
        <v>0.608070205572537</v>
      </c>
      <c r="M81" s="161" t="n">
        <f aca="false">Тарифы!M$18/$G81</f>
        <v>0</v>
      </c>
      <c r="N81" s="161" t="n">
        <f aca="false">Тарифы!N$18/$G81</f>
        <v>0</v>
      </c>
      <c r="O81" s="161" t="n">
        <f aca="false">Тарифы!O$18/$G81</f>
        <v>0</v>
      </c>
      <c r="P81" s="161" t="n">
        <f aca="false">Тарифы!P$18/$G81</f>
        <v>0</v>
      </c>
      <c r="Q81" s="161" t="n">
        <f aca="false">Тарифы!Q$18/$G81</f>
        <v>0</v>
      </c>
    </row>
    <row r="82" customFormat="false" ht="15" hidden="false" customHeight="true" outlineLevel="0" collapsed="false">
      <c r="B82" s="117" t="s">
        <v>999</v>
      </c>
      <c r="C82" s="131" t="s">
        <v>980</v>
      </c>
      <c r="D82" s="131" t="s">
        <v>422</v>
      </c>
      <c r="E82" s="165" t="n">
        <f aca="false">G82/F82</f>
        <v>392.6</v>
      </c>
      <c r="F82" s="165" t="n">
        <v>5</v>
      </c>
      <c r="G82" s="125" t="n">
        <v>1963</v>
      </c>
      <c r="H82" s="159" t="n">
        <v>1.04</v>
      </c>
      <c r="I82" s="165" t="n">
        <v>1</v>
      </c>
      <c r="J82" s="133" t="n">
        <f aca="false">H82*F82*IF(I82=1,Технический!$C$26,Технический!$C$27)</f>
        <v>552.10538312459</v>
      </c>
      <c r="K82" s="160" t="n">
        <f aca="false">J82/G82</f>
        <v>0.281255926196938</v>
      </c>
      <c r="L82" s="118" t="n">
        <f aca="false">1-K82/Тарифы!$G$19</f>
        <v>0.21866675772284</v>
      </c>
      <c r="M82" s="161" t="n">
        <f aca="false">Тарифы!M$18/$G82</f>
        <v>0</v>
      </c>
      <c r="N82" s="161" t="n">
        <f aca="false">Тарифы!N$18/$G82</f>
        <v>0</v>
      </c>
      <c r="O82" s="161" t="n">
        <f aca="false">Тарифы!O$18/$G82</f>
        <v>0</v>
      </c>
      <c r="P82" s="161" t="n">
        <f aca="false">Тарифы!P$18/$G82</f>
        <v>0</v>
      </c>
      <c r="Q82" s="161" t="n">
        <f aca="false">Тарифы!Q$18/$G82</f>
        <v>0</v>
      </c>
    </row>
    <row r="83" customFormat="false" ht="15" hidden="false" customHeight="true" outlineLevel="0" collapsed="false">
      <c r="B83" s="117" t="s">
        <v>1000</v>
      </c>
      <c r="C83" s="131" t="s">
        <v>980</v>
      </c>
      <c r="D83" s="131" t="s">
        <v>149</v>
      </c>
      <c r="E83" s="165" t="n">
        <f aca="false">G83/F83</f>
        <v>451</v>
      </c>
      <c r="F83" s="165" t="n">
        <v>1</v>
      </c>
      <c r="G83" s="125" t="n">
        <v>451</v>
      </c>
      <c r="H83" s="159" t="n">
        <v>0.84</v>
      </c>
      <c r="I83" s="165" t="n">
        <v>2</v>
      </c>
      <c r="J83" s="133" t="n">
        <f aca="false">H83*F83*IF(I83=1,Технический!$C$26,Технический!$C$27)</f>
        <v>84.5367338360656</v>
      </c>
      <c r="K83" s="160" t="n">
        <f aca="false">J83/G83</f>
        <v>0.18744286881611</v>
      </c>
      <c r="L83" s="118" t="n">
        <f aca="false">1-K83/Тарифы!$G$19</f>
        <v>0.479280858490164</v>
      </c>
      <c r="M83" s="161" t="n">
        <f aca="false">Тарифы!M$18/$G83</f>
        <v>0</v>
      </c>
      <c r="N83" s="161" t="n">
        <f aca="false">Тарифы!N$18/$G83</f>
        <v>0</v>
      </c>
      <c r="O83" s="161" t="n">
        <f aca="false">Тарифы!O$18/$G83</f>
        <v>0</v>
      </c>
      <c r="P83" s="161" t="n">
        <f aca="false">Тарифы!P$18/$G83</f>
        <v>0</v>
      </c>
      <c r="Q83" s="161" t="n">
        <f aca="false">Тарифы!Q$18/$G83</f>
        <v>0</v>
      </c>
    </row>
    <row r="84" customFormat="false" ht="15" hidden="false" customHeight="true" outlineLevel="0" collapsed="false">
      <c r="B84" s="117" t="s">
        <v>1001</v>
      </c>
      <c r="C84" s="131" t="s">
        <v>980</v>
      </c>
      <c r="D84" s="131" t="s">
        <v>149</v>
      </c>
      <c r="E84" s="165" t="n">
        <f aca="false">G84/F84</f>
        <v>677</v>
      </c>
      <c r="F84" s="165" t="n">
        <v>1</v>
      </c>
      <c r="G84" s="125" t="n">
        <v>677</v>
      </c>
      <c r="H84" s="159" t="n">
        <v>1.26</v>
      </c>
      <c r="I84" s="165" t="n">
        <v>2</v>
      </c>
      <c r="J84" s="133" t="n">
        <f aca="false">H84*F84*IF(I84=1,Технический!$C$26,Технический!$C$27)</f>
        <v>126.805100754098</v>
      </c>
      <c r="K84" s="160" t="n">
        <f aca="false">J84/G84</f>
        <v>0.187304432428506</v>
      </c>
      <c r="L84" s="118" t="n">
        <f aca="false">1-K84/Тарифы!$G$19</f>
        <v>0.479665436881235</v>
      </c>
      <c r="M84" s="161" t="n">
        <f aca="false">Тарифы!M$18/$G84</f>
        <v>0</v>
      </c>
      <c r="N84" s="161" t="n">
        <f aca="false">Тарифы!N$18/$G84</f>
        <v>0</v>
      </c>
      <c r="O84" s="161" t="n">
        <f aca="false">Тарифы!O$18/$G84</f>
        <v>0</v>
      </c>
      <c r="P84" s="161" t="n">
        <f aca="false">Тарифы!P$18/$G84</f>
        <v>0</v>
      </c>
      <c r="Q84" s="161" t="n">
        <f aca="false">Тарифы!Q$18/$G84</f>
        <v>0</v>
      </c>
    </row>
    <row r="85" customFormat="false" ht="15" hidden="false" customHeight="true" outlineLevel="0" collapsed="false">
      <c r="B85" s="117" t="s">
        <v>1002</v>
      </c>
      <c r="C85" s="131" t="s">
        <v>980</v>
      </c>
      <c r="D85" s="131" t="s">
        <v>422</v>
      </c>
      <c r="E85" s="165" t="n">
        <f aca="false">G85/F85</f>
        <v>90</v>
      </c>
      <c r="F85" s="165" t="n">
        <v>5</v>
      </c>
      <c r="G85" s="125" t="n">
        <v>450</v>
      </c>
      <c r="H85" s="159" t="n">
        <v>0.12</v>
      </c>
      <c r="I85" s="165" t="n">
        <v>2</v>
      </c>
      <c r="J85" s="133" t="n">
        <f aca="false">H85*F85*IF(I85=1,Технический!$C$26,Технический!$C$27)</f>
        <v>60.3833813114754</v>
      </c>
      <c r="K85" s="160" t="n">
        <f aca="false">J85/G85</f>
        <v>0.134185291803279</v>
      </c>
      <c r="L85" s="118" t="n">
        <f aca="false">1-K85/Тарифы!$G$19</f>
        <v>0.627231217744546</v>
      </c>
      <c r="M85" s="161" t="n">
        <f aca="false">Тарифы!M$18/$G85</f>
        <v>0</v>
      </c>
      <c r="N85" s="161" t="n">
        <f aca="false">Тарифы!N$18/$G85</f>
        <v>0</v>
      </c>
      <c r="O85" s="161" t="n">
        <f aca="false">Тарифы!O$18/$G85</f>
        <v>0</v>
      </c>
      <c r="P85" s="161" t="n">
        <f aca="false">Тарифы!P$18/$G85</f>
        <v>0</v>
      </c>
      <c r="Q85" s="161" t="n">
        <f aca="false">Тарифы!Q$18/$G85</f>
        <v>0</v>
      </c>
    </row>
    <row r="86" customFormat="false" ht="15" hidden="false" customHeight="true" outlineLevel="0" collapsed="false">
      <c r="B86" s="117"/>
      <c r="C86" s="179"/>
      <c r="D86" s="179"/>
      <c r="E86" s="179"/>
      <c r="F86" s="158"/>
      <c r="G86" s="40"/>
      <c r="H86" s="40"/>
      <c r="I86" s="40"/>
      <c r="J86" s="180"/>
      <c r="K86" s="180"/>
      <c r="L86" s="180"/>
    </row>
    <row r="87" customFormat="false" ht="15" hidden="false" customHeight="true" outlineLevel="0" collapsed="false">
      <c r="B87" s="117"/>
      <c r="C87" s="179"/>
      <c r="D87" s="179"/>
      <c r="E87" s="179"/>
      <c r="F87" s="158"/>
      <c r="G87" s="40"/>
      <c r="H87" s="40"/>
      <c r="I87" s="40"/>
      <c r="J87" s="180"/>
      <c r="K87" s="180"/>
      <c r="L87" s="180"/>
    </row>
    <row r="88" customFormat="false" ht="15" hidden="false" customHeight="true" outlineLevel="0" collapsed="false">
      <c r="B88" s="117"/>
      <c r="C88" s="179"/>
      <c r="D88" s="179"/>
      <c r="E88" s="179"/>
      <c r="F88" s="158"/>
      <c r="G88" s="40"/>
      <c r="H88" s="40"/>
      <c r="I88" s="40"/>
      <c r="J88" s="180"/>
      <c r="K88" s="180"/>
      <c r="L88" s="180"/>
    </row>
    <row r="89" customFormat="false" ht="15" hidden="false" customHeight="true" outlineLevel="0" collapsed="false">
      <c r="B89" s="117"/>
      <c r="C89" s="179"/>
      <c r="D89" s="179"/>
      <c r="E89" s="179"/>
      <c r="F89" s="158"/>
      <c r="G89" s="40"/>
      <c r="H89" s="40"/>
      <c r="I89" s="40"/>
      <c r="J89" s="180"/>
      <c r="K89" s="180"/>
      <c r="L89" s="180"/>
    </row>
    <row r="90" customFormat="false" ht="15" hidden="false" customHeight="true" outlineLevel="0" collapsed="false">
      <c r="B90" s="181"/>
      <c r="C90" s="181"/>
      <c r="D90" s="181"/>
      <c r="E90" s="181"/>
      <c r="F90" s="181"/>
      <c r="G90" s="181"/>
      <c r="H90" s="181"/>
      <c r="I90" s="181"/>
      <c r="J90" s="181"/>
      <c r="K90" s="181"/>
      <c r="L90" s="181"/>
    </row>
    <row r="91" customFormat="false" ht="14.25" hidden="false" customHeight="true" outlineLevel="0" collapsed="false">
      <c r="B91" s="1" t="s">
        <v>1003</v>
      </c>
      <c r="C91" s="1" t="s">
        <v>202</v>
      </c>
      <c r="D91" s="1" t="s">
        <v>973</v>
      </c>
      <c r="E91" s="1" t="n">
        <f aca="false">G91/F91</f>
        <v>15</v>
      </c>
      <c r="F91" s="1" t="n">
        <v>1</v>
      </c>
      <c r="G91" s="1" t="n">
        <v>15</v>
      </c>
      <c r="H91" s="1" t="n">
        <v>0.035</v>
      </c>
      <c r="I91" s="1" t="n">
        <v>2</v>
      </c>
      <c r="J91" s="1" t="n">
        <f aca="false">H91*F91*IF(I91=1,Технический!$C$26,Технический!$C$27)</f>
        <v>3.52236390983607</v>
      </c>
      <c r="K91" s="1" t="n">
        <f aca="false">J91/G91</f>
        <v>0.234824260655738</v>
      </c>
      <c r="L91" s="1" t="n">
        <f aca="false">1-K91/Тарифы!$G$19</f>
        <v>0.347654631052955</v>
      </c>
      <c r="M91" s="1" t="n">
        <f aca="false">Тарифы!C$18/$G91</f>
        <v>78.3333333333333</v>
      </c>
      <c r="N91" s="1" t="n">
        <f aca="false">Тарифы!D$18/$G91</f>
        <v>293.333333333333</v>
      </c>
      <c r="O91" s="1" t="n">
        <f aca="false">Тарифы!E$18/$G91</f>
        <v>686.666666666667</v>
      </c>
      <c r="P91" s="1" t="n">
        <f aca="false">Тарифы!F$18/$G91</f>
        <v>1060</v>
      </c>
      <c r="Q91" s="1" t="n">
        <f aca="false">Тарифы!G$18/$G91</f>
        <v>2166.66666666667</v>
      </c>
      <c r="R91" s="1" t="n">
        <v>3</v>
      </c>
      <c r="S91" s="1" t="n">
        <f aca="false">IF(ISNUMBER($R91),Технический!C$108/$R91,"")</f>
        <v>86.6666666666667</v>
      </c>
      <c r="T91" s="1" t="n">
        <f aca="false">IF(ISNUMBER($R91),Технический!D$108/$R91,"")</f>
        <v>228.5</v>
      </c>
      <c r="U91" s="1" t="n">
        <f aca="false">IF(ISNUMBER($R91),Технический!E$108/$R91,"")</f>
        <v>566.666666666667</v>
      </c>
      <c r="V91" s="1" t="n">
        <f aca="false">IF(ISNUMBER($R91),Технический!F$108/$R91,"")</f>
        <v>866.666666666667</v>
      </c>
      <c r="W91" s="1" t="n">
        <f aca="false">IF(ISNUMBER($R91),Технический!G$108/$R91,"")</f>
        <v>1000</v>
      </c>
      <c r="X91" s="1" t="n">
        <v>1.5</v>
      </c>
      <c r="Y91" s="1" t="n">
        <f aca="false">IF(ISNUMBER($X91),Технический!$I$112/$X91,"")</f>
        <v>180</v>
      </c>
      <c r="Z91" s="1" t="n">
        <f aca="false">IF(ISNUMBER($X91),Технический!$I$110/$X91,"")</f>
        <v>800</v>
      </c>
      <c r="AA91" s="1" t="n">
        <f aca="false">IF(ISNUMBER($X91),Технический!$I$111/$X91,"")</f>
        <v>2000</v>
      </c>
      <c r="AB91" s="1" t="n">
        <f aca="false">IFERROR(AVERAGE((M91/$C$7)/((Технический!$C$108/$R91)/Технический!$C$107),(N91/$D$7)/((Технический!$D$108/$R91)/Технический!$D$107),(O91/$E$7)/((Технический!$E$108/$R91)/Технический!$E$107),(P91/$F$7)/((Технический!$F$108/$R91)/Технический!$F$107),(Q91/$G$7)/((Технический!$G$108/$R91)/Технический!$G$107))-1,"")</f>
        <v>0.483041029395793</v>
      </c>
      <c r="AC91" s="1" t="n">
        <v>3.2</v>
      </c>
      <c r="AD91" s="1" t="n">
        <f aca="false">AC91/G91</f>
        <v>0.213333333333333</v>
      </c>
      <c r="AE91" s="1" t="n">
        <f aca="false">(Тарифы!$G$19-AD91)/Тарифы!$G$19</f>
        <v>0.40735675413853</v>
      </c>
    </row>
    <row r="92" customFormat="false" ht="14.25" hidden="false" customHeight="true" outlineLevel="0" collapsed="false">
      <c r="B92" s="1" t="s">
        <v>535</v>
      </c>
      <c r="C92" s="1" t="s">
        <v>202</v>
      </c>
      <c r="D92" s="1" t="s">
        <v>973</v>
      </c>
      <c r="E92" s="1" t="n">
        <f aca="false">G92/F92</f>
        <v>10</v>
      </c>
      <c r="F92" s="1" t="n">
        <v>1</v>
      </c>
      <c r="G92" s="1" t="n">
        <v>10</v>
      </c>
      <c r="H92" s="1" t="n">
        <v>0.0275</v>
      </c>
      <c r="I92" s="1" t="n">
        <v>2</v>
      </c>
      <c r="J92" s="1" t="n">
        <f aca="false">H92*F92*IF(I92=1,Технический!$C$26,Технический!$C$27)</f>
        <v>2.76757164344262</v>
      </c>
      <c r="K92" s="1" t="n">
        <f aca="false">J92/G92</f>
        <v>0.276757164344262</v>
      </c>
      <c r="L92" s="1" t="n">
        <f aca="false">1-K92/Тарифы!$G$19</f>
        <v>0.231164386598126</v>
      </c>
      <c r="M92" s="1" t="n">
        <f aca="false">Тарифы!C$18/$G92</f>
        <v>117.5</v>
      </c>
      <c r="N92" s="1" t="n">
        <f aca="false">Тарифы!D$18/$G92</f>
        <v>440</v>
      </c>
      <c r="O92" s="1" t="n">
        <f aca="false">Тарифы!E$18/$G92</f>
        <v>1030</v>
      </c>
      <c r="P92" s="1" t="n">
        <f aca="false">Тарифы!F$18/$G92</f>
        <v>1590</v>
      </c>
      <c r="Q92" s="1" t="n">
        <f aca="false">Тарифы!G$18/$G92</f>
        <v>3250</v>
      </c>
      <c r="R92" s="1" t="n">
        <v>2</v>
      </c>
      <c r="S92" s="1" t="n">
        <f aca="false">IF(ISNUMBER($R92),Технический!C$108/$R92,"")</f>
        <v>130</v>
      </c>
      <c r="T92" s="1" t="n">
        <f aca="false">IF(ISNUMBER($R92),Технический!D$108/$R92,"")</f>
        <v>342.75</v>
      </c>
      <c r="U92" s="1" t="n">
        <f aca="false">IF(ISNUMBER($R92),Технический!E$108/$R92,"")</f>
        <v>850</v>
      </c>
      <c r="V92" s="1" t="n">
        <f aca="false">IF(ISNUMBER($R92),Технический!F$108/$R92,"")</f>
        <v>1300</v>
      </c>
      <c r="W92" s="1" t="n">
        <f aca="false">IF(ISNUMBER($R92),Технический!G$108/$R92,"")</f>
        <v>1500</v>
      </c>
      <c r="X92" s="1" t="n">
        <v>1.5</v>
      </c>
      <c r="Y92" s="1" t="n">
        <f aca="false">IF(ISNUMBER($X92),Технический!$I$112/$X92,"")</f>
        <v>180</v>
      </c>
      <c r="Z92" s="1" t="n">
        <f aca="false">IF(ISNUMBER($X92),Технический!$I$110/$X92,"")</f>
        <v>800</v>
      </c>
      <c r="AA92" s="1" t="n">
        <f aca="false">IF(ISNUMBER($X92),Технический!$I$111/$X92,"")</f>
        <v>2000</v>
      </c>
      <c r="AB92" s="1" t="n">
        <f aca="false">IFERROR(AVERAGE((M92/$C$7)/((Технический!$C$108/$R92)/Технический!$C$107),(N92/$D$7)/((Технический!$D$108/$R92)/Технический!$D$107),(O92/$E$7)/((Технический!$E$108/$R92)/Технический!$E$107),(P92/$F$7)/((Технический!$F$108/$R92)/Технический!$F$107),(Q92/$G$7)/((Технический!$G$108/$R92)/Технический!$G$107))-1,"")</f>
        <v>0.483041029395793</v>
      </c>
      <c r="AC92" s="1" t="n">
        <v>3.2</v>
      </c>
      <c r="AD92" s="1" t="n">
        <f aca="false">AC92/G92</f>
        <v>0.32</v>
      </c>
      <c r="AE92" s="1" t="n">
        <f aca="false">(Тарифы!$G$19-AD92)/Тарифы!$G$19</f>
        <v>0.111035131207796</v>
      </c>
    </row>
    <row r="93" customFormat="false" ht="14.25" hidden="false" customHeight="true" outlineLevel="0" collapsed="false">
      <c r="B93" s="117" t="s">
        <v>1004</v>
      </c>
    </row>
    <row r="94" customFormat="false" ht="14.25" hidden="false" customHeight="true" outlineLevel="0" collapsed="false">
      <c r="B94" s="117" t="s">
        <v>1005</v>
      </c>
    </row>
    <row r="95" customFormat="false" ht="14.25" hidden="false" customHeight="true" outlineLevel="0" collapsed="false">
      <c r="B95" s="117" t="s">
        <v>1006</v>
      </c>
    </row>
  </sheetData>
  <mergeCells count="4">
    <mergeCell ref="M50:Q50"/>
    <mergeCell ref="S50:W50"/>
    <mergeCell ref="X50:AA50"/>
    <mergeCell ref="B90:L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51"/>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3" min="3" style="1" width="13"/>
    <col collapsed="false" customWidth="true" hidden="false" outlineLevel="0" max="4" min="4" style="1" width="14"/>
    <col collapsed="false" customWidth="true" hidden="false" outlineLevel="0" max="5" min="5" style="1" width="12"/>
    <col collapsed="false" customWidth="true" hidden="false" outlineLevel="0" max="7" min="6" style="1" width="13"/>
    <col collapsed="false" customWidth="true" hidden="false" outlineLevel="0" max="9" min="8" style="1" width="12"/>
    <col collapsed="false" customWidth="true" hidden="false" outlineLevel="0" max="10" min="10" style="1" width="11"/>
  </cols>
  <sheetData>
    <row r="2" customFormat="false" ht="17.25" hidden="false" customHeight="true" outlineLevel="0" collapsed="false">
      <c r="B2" s="31" t="s">
        <v>1007</v>
      </c>
    </row>
    <row r="3" customFormat="false" ht="15" hidden="false" customHeight="true" outlineLevel="0" collapsed="false">
      <c r="B3" s="8" t="s">
        <v>1008</v>
      </c>
    </row>
    <row r="5" customFormat="false" ht="15" hidden="false" customHeight="true" outlineLevel="0" collapsed="false">
      <c r="B5" s="4" t="s">
        <v>1009</v>
      </c>
      <c r="C5" s="5"/>
      <c r="D5" s="5"/>
      <c r="E5" s="5"/>
      <c r="F5" s="5"/>
      <c r="G5" s="5"/>
      <c r="H5" s="5"/>
      <c r="I5" s="5"/>
      <c r="J5" s="5"/>
    </row>
    <row r="6" customFormat="false" ht="40.5" hidden="false" customHeight="true" outlineLevel="0" collapsed="false">
      <c r="B6" s="182" t="s">
        <v>74</v>
      </c>
      <c r="C6" s="182" t="s">
        <v>828</v>
      </c>
      <c r="D6" s="182" t="s">
        <v>1010</v>
      </c>
      <c r="E6" s="182" t="s">
        <v>1011</v>
      </c>
      <c r="F6" s="182" t="s">
        <v>1012</v>
      </c>
      <c r="G6" s="182" t="s">
        <v>1013</v>
      </c>
      <c r="H6" s="182" t="s">
        <v>1014</v>
      </c>
      <c r="I6" s="182" t="s">
        <v>1015</v>
      </c>
      <c r="J6" s="182" t="s">
        <v>1016</v>
      </c>
    </row>
    <row r="7" customFormat="false" ht="15" hidden="false" customHeight="true" outlineLevel="0" collapsed="false">
      <c r="B7" s="117" t="str">
        <f aca="false">Тарифы!$B$54</f>
        <v>nano-banana</v>
      </c>
      <c r="C7" s="131" t="str">
        <f aca="false">Тарифы!$C$54</f>
        <v>карт</v>
      </c>
      <c r="D7" s="138" t="n">
        <f aca="false">Тарифы!$H$54*Тарифы!$F$54</f>
        <v>0.02</v>
      </c>
      <c r="E7" s="133" t="n">
        <f aca="false">D7*Технический!$C$17</f>
        <v>1.7</v>
      </c>
      <c r="F7" s="133" t="n">
        <f aca="false">E7*IF(Тарифы!$I$54=1,Технический!$C$18,Технический!$C$19)</f>
        <v>0</v>
      </c>
      <c r="G7" s="133" t="n">
        <f aca="false">(E7+F7)*Технический!$C$23</f>
        <v>0.006222</v>
      </c>
      <c r="H7" s="133" t="n">
        <f aca="false">(E7+F7)*Технический!$C$25</f>
        <v>0.30655737704918</v>
      </c>
      <c r="I7" s="183" t="n">
        <f aca="false">E7+F7+G7+H7</f>
        <v>2.01277937704918</v>
      </c>
      <c r="J7" s="160" t="n">
        <f aca="false">I7/Тарифы!$G$54</f>
        <v>0.251597422131148</v>
      </c>
    </row>
    <row r="8" customFormat="false" ht="15" hidden="false" customHeight="true" outlineLevel="0" collapsed="false">
      <c r="B8" s="117" t="str">
        <f aca="false">Тарифы!$B$55</f>
        <v>recraft-v4</v>
      </c>
      <c r="C8" s="131" t="str">
        <f aca="false">Тарифы!$C$55</f>
        <v>карт</v>
      </c>
      <c r="D8" s="138" t="n">
        <f aca="false">Тарифы!$H$55*Тарифы!$F$55</f>
        <v>0.04</v>
      </c>
      <c r="E8" s="133" t="n">
        <f aca="false">D8*Технический!$C$17</f>
        <v>3.4</v>
      </c>
      <c r="F8" s="133" t="n">
        <f aca="false">E8*IF(Тарифы!$I$55=1,Технический!$C$18,Технический!$C$19)</f>
        <v>0.187</v>
      </c>
      <c r="G8" s="133" t="n">
        <f aca="false">(E8+F8)*Технический!$C$23</f>
        <v>0.01312842</v>
      </c>
      <c r="H8" s="133" t="n">
        <f aca="false">(E8+F8)*Технический!$C$25</f>
        <v>0.646836065573771</v>
      </c>
      <c r="I8" s="183" t="n">
        <f aca="false">E8+F8+G8+H8</f>
        <v>4.24696448557377</v>
      </c>
      <c r="J8" s="160" t="n">
        <f aca="false">I8/Тарифы!$G$55</f>
        <v>0.169878579422951</v>
      </c>
    </row>
    <row r="9" customFormat="false" ht="15" hidden="false" customHeight="true" outlineLevel="0" collapsed="false">
      <c r="B9" s="117" t="str">
        <f aca="false">Тарифы!$B$56</f>
        <v>gpt-image-2</v>
      </c>
      <c r="C9" s="131" t="str">
        <f aca="false">Тарифы!$C$56</f>
        <v>карт</v>
      </c>
      <c r="D9" s="138" t="n">
        <f aca="false">Тарифы!$H$56*Тарифы!$F$56</f>
        <v>0.03</v>
      </c>
      <c r="E9" s="133" t="n">
        <f aca="false">D9*Технический!$C$17</f>
        <v>2.55</v>
      </c>
      <c r="F9" s="133" t="n">
        <f aca="false">E9*IF(Тарифы!$I$56=1,Технический!$C$18,Технический!$C$19)</f>
        <v>0</v>
      </c>
      <c r="G9" s="133" t="n">
        <f aca="false">(E9+F9)*Технический!$C$23</f>
        <v>0.009333</v>
      </c>
      <c r="H9" s="133" t="n">
        <f aca="false">(E9+F9)*Технический!$C$25</f>
        <v>0.459836065573771</v>
      </c>
      <c r="I9" s="183" t="n">
        <f aca="false">E9+F9+G9+H9</f>
        <v>3.01916906557377</v>
      </c>
      <c r="J9" s="160" t="n">
        <f aca="false">I9/Тарифы!$G$56</f>
        <v>0.301916906557377</v>
      </c>
    </row>
    <row r="10" customFormat="false" ht="15" hidden="false" customHeight="true" outlineLevel="0" collapsed="false">
      <c r="B10" s="117" t="str">
        <f aca="false">Тарифы!$B$57</f>
        <v>recraft-v4-vector</v>
      </c>
      <c r="C10" s="131" t="str">
        <f aca="false">Тарифы!$C$57</f>
        <v>карт</v>
      </c>
      <c r="D10" s="138" t="n">
        <f aca="false">Тарифы!$H$57*Тарифы!$F$57</f>
        <v>0.08</v>
      </c>
      <c r="E10" s="133" t="n">
        <f aca="false">D10*Технический!$C$17</f>
        <v>6.8</v>
      </c>
      <c r="F10" s="133" t="n">
        <f aca="false">E10*IF(Тарифы!$I$57=1,Технический!$C$18,Технический!$C$19)</f>
        <v>0.374</v>
      </c>
      <c r="G10" s="133" t="n">
        <f aca="false">(E10+F10)*Технический!$C$23</f>
        <v>0.02625684</v>
      </c>
      <c r="H10" s="133" t="n">
        <f aca="false">(E10+F10)*Технический!$C$25</f>
        <v>1.29367213114754</v>
      </c>
      <c r="I10" s="183" t="n">
        <f aca="false">E10+F10+G10+H10</f>
        <v>8.49392897114754</v>
      </c>
      <c r="J10" s="160" t="n">
        <f aca="false">I10/Тарифы!$G$57</f>
        <v>0.212348224278689</v>
      </c>
    </row>
    <row r="11" customFormat="false" ht="15" hidden="false" customHeight="true" outlineLevel="0" collapsed="false">
      <c r="B11" s="117" t="str">
        <f aca="false">Тарифы!$B$58</f>
        <v>nano-banana-2-lite</v>
      </c>
      <c r="C11" s="131" t="str">
        <f aca="false">Тарифы!$C$58</f>
        <v>карт</v>
      </c>
      <c r="D11" s="138" t="n">
        <f aca="false">Тарифы!$H$58*Тарифы!$F$58</f>
        <v>0.025</v>
      </c>
      <c r="E11" s="133" t="n">
        <f aca="false">D11*Технический!$C$17</f>
        <v>2.125</v>
      </c>
      <c r="F11" s="133" t="n">
        <f aca="false">E11*IF(Тарифы!$I$58=1,Технический!$C$18,Технический!$C$19)</f>
        <v>0</v>
      </c>
      <c r="G11" s="133" t="n">
        <f aca="false">(E11+F11)*Технический!$C$23</f>
        <v>0.0077775</v>
      </c>
      <c r="H11" s="133" t="n">
        <f aca="false">(E11+F11)*Технический!$C$25</f>
        <v>0.383196721311475</v>
      </c>
      <c r="I11" s="183" t="n">
        <f aca="false">E11+F11+G11+H11</f>
        <v>2.51597422131148</v>
      </c>
      <c r="J11" s="160" t="n">
        <f aca="false">I11/Тарифы!$G$58</f>
        <v>0.314496777663934</v>
      </c>
    </row>
    <row r="12" customFormat="false" ht="15" hidden="false" customHeight="true" outlineLevel="0" collapsed="false">
      <c r="B12" s="117" t="str">
        <f aca="false">Тарифы!$B$59</f>
        <v>nano-banana-2</v>
      </c>
      <c r="C12" s="131" t="str">
        <f aca="false">Тарифы!$C$59</f>
        <v>карт</v>
      </c>
      <c r="D12" s="138" t="n">
        <f aca="false">Тарифы!$H$59*Тарифы!$F$59</f>
        <v>0.055</v>
      </c>
      <c r="E12" s="133" t="n">
        <f aca="false">D12*Технический!$C$17</f>
        <v>4.675</v>
      </c>
      <c r="F12" s="133" t="n">
        <f aca="false">E12*IF(Тарифы!$I$59=1,Технический!$C$18,Технический!$C$19)</f>
        <v>0</v>
      </c>
      <c r="G12" s="133" t="n">
        <f aca="false">(E12+F12)*Технический!$C$23</f>
        <v>0.0171105</v>
      </c>
      <c r="H12" s="133" t="n">
        <f aca="false">(E12+F12)*Технический!$C$25</f>
        <v>0.843032786885246</v>
      </c>
      <c r="I12" s="183" t="n">
        <f aca="false">E12+F12+G12+H12</f>
        <v>5.53514328688525</v>
      </c>
      <c r="J12" s="160" t="n">
        <f aca="false">I12/Тарифы!$G$59</f>
        <v>0.325596663934426</v>
      </c>
    </row>
    <row r="13" customFormat="false" ht="15" hidden="false" customHeight="true" outlineLevel="0" collapsed="false">
      <c r="B13" s="117" t="str">
        <f aca="false">Тарифы!$B$60</f>
        <v>nano-banana-pro</v>
      </c>
      <c r="C13" s="131" t="str">
        <f aca="false">Тарифы!$C$60</f>
        <v>карт</v>
      </c>
      <c r="D13" s="138" t="n">
        <f aca="false">Тарифы!$H$60*Тарифы!$F$60</f>
        <v>0.09</v>
      </c>
      <c r="E13" s="133" t="n">
        <f aca="false">D13*Технический!$C$17</f>
        <v>7.65</v>
      </c>
      <c r="F13" s="133" t="n">
        <f aca="false">E13*IF(Тарифы!$I$60=1,Технический!$C$18,Технический!$C$19)</f>
        <v>0</v>
      </c>
      <c r="G13" s="133" t="n">
        <f aca="false">(E13+F13)*Технический!$C$23</f>
        <v>0.027999</v>
      </c>
      <c r="H13" s="133" t="n">
        <f aca="false">(E13+F13)*Технический!$C$25</f>
        <v>1.37950819672131</v>
      </c>
      <c r="I13" s="183" t="n">
        <f aca="false">E13+F13+G13+H13</f>
        <v>9.05750719672131</v>
      </c>
      <c r="J13" s="160" t="n">
        <f aca="false">I13/Тарифы!$G$60</f>
        <v>0.292177651507139</v>
      </c>
    </row>
    <row r="14" customFormat="false" ht="15" hidden="false" customHeight="true" outlineLevel="0" collapsed="false">
      <c r="B14" s="117" t="str">
        <f aca="false">Тарифы!$B$61</f>
        <v>flux-2-pro · 2MP</v>
      </c>
      <c r="C14" s="131" t="str">
        <f aca="false">Тарифы!$C$61</f>
        <v>карт</v>
      </c>
      <c r="D14" s="138" t="n">
        <f aca="false">Тарифы!$H$61*Тарифы!$F$61</f>
        <v>0.03</v>
      </c>
      <c r="E14" s="133" t="n">
        <f aca="false">D14*Технический!$C$17</f>
        <v>2.55</v>
      </c>
      <c r="F14" s="133" t="n">
        <f aca="false">E14*IF(Тарифы!$I$61=1,Технический!$C$18,Технический!$C$19)</f>
        <v>0</v>
      </c>
      <c r="G14" s="133" t="n">
        <f aca="false">(E14+F14)*Технический!$C$23</f>
        <v>0.009333</v>
      </c>
      <c r="H14" s="133" t="n">
        <f aca="false">(E14+F14)*Технический!$C$25</f>
        <v>0.459836065573771</v>
      </c>
      <c r="I14" s="183" t="n">
        <f aca="false">E14+F14+G14+H14</f>
        <v>3.01916906557377</v>
      </c>
      <c r="J14" s="160" t="n">
        <f aca="false">I14/Тарифы!$G$61</f>
        <v>0.0603833813114754</v>
      </c>
    </row>
    <row r="15" customFormat="false" ht="15" hidden="false" customHeight="true" outlineLevel="0" collapsed="false">
      <c r="B15" s="117" t="str">
        <f aca="false">Тарифы!$B$62</f>
        <v>seedream-4-5 · до 4K</v>
      </c>
      <c r="C15" s="131" t="str">
        <f aca="false">Тарифы!$C$62</f>
        <v>карт</v>
      </c>
      <c r="D15" s="138" t="n">
        <f aca="false">Тарифы!$H$62*Тарифы!$F$62</f>
        <v>0.0325</v>
      </c>
      <c r="E15" s="133" t="n">
        <f aca="false">D15*Технический!$C$17</f>
        <v>2.7625</v>
      </c>
      <c r="F15" s="133" t="n">
        <f aca="false">E15*IF(Тарифы!$I$62=1,Технический!$C$18,Технический!$C$19)</f>
        <v>0</v>
      </c>
      <c r="G15" s="133" t="n">
        <f aca="false">(E15+F15)*Технический!$C$23</f>
        <v>0.01011075</v>
      </c>
      <c r="H15" s="133" t="n">
        <f aca="false">(E15+F15)*Технический!$C$25</f>
        <v>0.498155737704918</v>
      </c>
      <c r="I15" s="183" t="n">
        <f aca="false">E15+F15+G15+H15</f>
        <v>3.27076648770492</v>
      </c>
      <c r="J15" s="160" t="n">
        <f aca="false">I15/Тарифы!$G$62</f>
        <v>0.218051099180328</v>
      </c>
    </row>
    <row r="16" customFormat="false" ht="15" hidden="false" customHeight="true" outlineLevel="0" collapsed="false">
      <c r="B16" s="117" t="str">
        <f aca="false">Тарифы!$B$64</f>
        <v>happyhorse-1-0</v>
      </c>
      <c r="C16" s="131" t="str">
        <f aca="false">Тарифы!$C$64</f>
        <v>видео</v>
      </c>
      <c r="D16" s="138" t="n">
        <f aca="false">Тарифы!$H$64*Тарифы!$F$64</f>
        <v>0.494</v>
      </c>
      <c r="E16" s="133" t="n">
        <f aca="false">D16*Технический!$C$17</f>
        <v>41.99</v>
      </c>
      <c r="F16" s="133" t="n">
        <f aca="false">E16*IF(Тарифы!$I$64=1,Технический!$C$18,Технический!$C$19)</f>
        <v>2.30945</v>
      </c>
      <c r="G16" s="133" t="n">
        <f aca="false">(E16+F16)*Технический!$C$23</f>
        <v>0.162135987</v>
      </c>
      <c r="H16" s="133" t="n">
        <f aca="false">(E16+F16)*Технический!$C$25</f>
        <v>7.98842540983607</v>
      </c>
      <c r="I16" s="183" t="n">
        <f aca="false">E16+F16+G16+H16</f>
        <v>52.4500113968361</v>
      </c>
      <c r="J16" s="160" t="n">
        <f aca="false">I16/Тарифы!$G$64</f>
        <v>0.22607763533119</v>
      </c>
    </row>
    <row r="17" customFormat="false" ht="15" hidden="false" customHeight="true" outlineLevel="0" collapsed="false">
      <c r="B17" s="117" t="str">
        <f aca="false">Тарифы!$B$65</f>
        <v>happyhorse-1-1</v>
      </c>
      <c r="C17" s="131" t="str">
        <f aca="false">Тарифы!$C$65</f>
        <v>видео</v>
      </c>
      <c r="D17" s="138" t="n">
        <f aca="false">Тарифы!$H$65*Тарифы!$F$65</f>
        <v>0.494</v>
      </c>
      <c r="E17" s="133" t="n">
        <f aca="false">D17*Технический!$C$17</f>
        <v>41.99</v>
      </c>
      <c r="F17" s="133" t="n">
        <f aca="false">E17*IF(Тарифы!$I$65=1,Технический!$C$18,Технический!$C$19)</f>
        <v>2.30945</v>
      </c>
      <c r="G17" s="133" t="n">
        <f aca="false">(E17+F17)*Технический!$C$23</f>
        <v>0.162135987</v>
      </c>
      <c r="H17" s="133" t="n">
        <f aca="false">(E17+F17)*Технический!$C$25</f>
        <v>7.98842540983607</v>
      </c>
      <c r="I17" s="183" t="n">
        <f aca="false">E17+F17+G17+H17</f>
        <v>52.4500113968361</v>
      </c>
      <c r="J17" s="160" t="n">
        <f aca="false">I17/Тарифы!$G$65</f>
        <v>0.22607763533119</v>
      </c>
    </row>
    <row r="18" customFormat="false" ht="15" hidden="false" customHeight="true" outlineLevel="0" collapsed="false">
      <c r="B18" s="117" t="str">
        <f aca="false">Тарифы!$B$66</f>
        <v>veo-3-1 Quality · 720p</v>
      </c>
      <c r="C18" s="131" t="str">
        <f aca="false">Тарифы!$C$66</f>
        <v>видео</v>
      </c>
      <c r="D18" s="138" t="n">
        <f aca="false">Тарифы!$H$66*Тарифы!$F$66</f>
        <v>1.25</v>
      </c>
      <c r="E18" s="133" t="n">
        <f aca="false">D18*Технический!$C$17</f>
        <v>106.25</v>
      </c>
      <c r="F18" s="133" t="n">
        <f aca="false">E18*IF(Тарифы!$I$66=1,Технический!$C$18,Технический!$C$19)</f>
        <v>0</v>
      </c>
      <c r="G18" s="133" t="n">
        <f aca="false">(E18+F18)*Технический!$C$23</f>
        <v>0.388875</v>
      </c>
      <c r="H18" s="133" t="n">
        <f aca="false">(E18+F18)*Технический!$C$25</f>
        <v>19.1598360655738</v>
      </c>
      <c r="I18" s="183" t="n">
        <f aca="false">E18+F18+G18+H18</f>
        <v>125.798711065574</v>
      </c>
      <c r="J18" s="160" t="n">
        <f aca="false">I18/Тарифы!$G$66</f>
        <v>0.147998483606557</v>
      </c>
    </row>
    <row r="19" customFormat="false" ht="15" hidden="false" customHeight="true" outlineLevel="0" collapsed="false">
      <c r="B19" s="117" t="str">
        <f aca="false">Тарифы!$B$67</f>
        <v>veo-3-1-fast · 720p</v>
      </c>
      <c r="C19" s="131" t="str">
        <f aca="false">Тарифы!$C$67</f>
        <v>видео</v>
      </c>
      <c r="D19" s="138" t="n">
        <f aca="false">Тарифы!$H$67*Тарифы!$F$67</f>
        <v>0.3</v>
      </c>
      <c r="E19" s="133" t="n">
        <f aca="false">D19*Технический!$C$17</f>
        <v>25.5</v>
      </c>
      <c r="F19" s="133" t="n">
        <f aca="false">E19*IF(Тарифы!$I$67=1,Технический!$C$18,Технический!$C$19)</f>
        <v>0</v>
      </c>
      <c r="G19" s="133" t="n">
        <f aca="false">(E19+F19)*Технический!$C$23</f>
        <v>0.09333</v>
      </c>
      <c r="H19" s="133" t="n">
        <f aca="false">(E19+F19)*Технический!$C$25</f>
        <v>4.59836065573771</v>
      </c>
      <c r="I19" s="183" t="n">
        <f aca="false">E19+F19+G19+H19</f>
        <v>30.1916906557377</v>
      </c>
      <c r="J19" s="160" t="n">
        <f aca="false">I19/Тарифы!$G$67</f>
        <v>0.141745026552759</v>
      </c>
    </row>
    <row r="20" customFormat="false" ht="15" hidden="false" customHeight="true" outlineLevel="0" collapsed="false">
      <c r="B20" s="117" t="str">
        <f aca="false">Тарифы!$B$68</f>
        <v>veo-3-1-lite · 720p</v>
      </c>
      <c r="C20" s="131" t="str">
        <f aca="false">Тарифы!$C$68</f>
        <v>видео</v>
      </c>
      <c r="D20" s="138" t="n">
        <f aca="false">Тарифы!$H$68*Тарифы!$F$68</f>
        <v>0.15</v>
      </c>
      <c r="E20" s="133" t="n">
        <f aca="false">D20*Технический!$C$17</f>
        <v>12.75</v>
      </c>
      <c r="F20" s="133" t="n">
        <f aca="false">E20*IF(Тарифы!$I$68=1,Технический!$C$18,Технический!$C$19)</f>
        <v>0</v>
      </c>
      <c r="G20" s="133" t="n">
        <f aca="false">(E20+F20)*Технический!$C$23</f>
        <v>0.046665</v>
      </c>
      <c r="H20" s="133" t="n">
        <f aca="false">(E20+F20)*Технический!$C$25</f>
        <v>2.29918032786885</v>
      </c>
      <c r="I20" s="183" t="n">
        <f aca="false">E20+F20+G20+H20</f>
        <v>15.0958453278689</v>
      </c>
      <c r="J20" s="160" t="n">
        <f aca="false">I20/Тарифы!$G$68</f>
        <v>0.141082666615597</v>
      </c>
    </row>
    <row r="21" customFormat="false" ht="15" hidden="false" customHeight="true" outlineLevel="0" collapsed="false">
      <c r="B21" s="117"/>
      <c r="C21" s="131"/>
      <c r="D21" s="138"/>
      <c r="E21" s="133"/>
      <c r="F21" s="133"/>
      <c r="G21" s="133"/>
      <c r="H21" s="133"/>
      <c r="I21" s="183"/>
      <c r="J21" s="160"/>
    </row>
    <row r="22" customFormat="false" ht="15" hidden="false" customHeight="true" outlineLevel="0" collapsed="false">
      <c r="B22" s="117" t="str">
        <f aca="false">Тарифы!$B$70</f>
        <v>grok-imagine · 720p · Kie</v>
      </c>
      <c r="C22" s="131" t="str">
        <f aca="false">Тарифы!$C$70</f>
        <v>видео</v>
      </c>
      <c r="D22" s="138" t="n">
        <f aca="false">Тарифы!$H$70*Тарифы!$F$70</f>
        <v>0.09</v>
      </c>
      <c r="E22" s="133" t="n">
        <f aca="false">D22*Технический!$C$17</f>
        <v>7.65</v>
      </c>
      <c r="F22" s="133" t="n">
        <f aca="false">E22*IF(Тарифы!$I$70=1,Технический!$C$18,Технический!$C$19)</f>
        <v>0</v>
      </c>
      <c r="G22" s="133" t="n">
        <f aca="false">(E22+F22)*Технический!$C$23</f>
        <v>0.027999</v>
      </c>
      <c r="H22" s="133" t="n">
        <f aca="false">(E22+F22)*Технический!$C$25</f>
        <v>1.37950819672131</v>
      </c>
      <c r="I22" s="183" t="n">
        <f aca="false">E22+F22+G22+H22</f>
        <v>9.05750719672131</v>
      </c>
      <c r="J22" s="160" t="n">
        <f aca="false">I22/Тарифы!$G$70</f>
        <v>0.201277937704918</v>
      </c>
    </row>
    <row r="23" customFormat="false" ht="15" hidden="false" customHeight="true" outlineLevel="0" collapsed="false">
      <c r="B23" s="117" t="str">
        <f aca="false">Тарифы!$B$71</f>
        <v>gemini-omni-flash · 720p</v>
      </c>
      <c r="C23" s="131" t="str">
        <f aca="false">Тарифы!$C$71</f>
        <v>видео</v>
      </c>
      <c r="D23" s="138" t="n">
        <f aca="false">Тарифы!$H$71*Тарифы!$F$71</f>
        <v>0.52504</v>
      </c>
      <c r="E23" s="133" t="n">
        <f aca="false">D23*Технический!$C$17</f>
        <v>44.6284</v>
      </c>
      <c r="F23" s="133" t="n">
        <f aca="false">E23*IF(Тарифы!$I$71=1,Технический!$C$18,Технический!$C$19)</f>
        <v>0</v>
      </c>
      <c r="G23" s="133" t="n">
        <f aca="false">(E23+F23)*Технический!$C$23</f>
        <v>0.163339944</v>
      </c>
      <c r="H23" s="133" t="n">
        <f aca="false">(E23+F23)*Технический!$C$25</f>
        <v>8.04774426229508</v>
      </c>
      <c r="I23" s="183" t="n">
        <f aca="false">E23+F23+G23+H23</f>
        <v>52.8394842062951</v>
      </c>
      <c r="J23" s="160" t="n">
        <f aca="false">I23/Тарифы!$G$71</f>
        <v>0.187374057469132</v>
      </c>
    </row>
    <row r="24" customFormat="false" ht="15" hidden="false" customHeight="true" outlineLevel="0" collapsed="false">
      <c r="B24" s="117" t="str">
        <f aca="false">Тарифы!$B$72</f>
        <v>seedance-2-0 · 1080p · OpenRouter</v>
      </c>
      <c r="C24" s="131" t="str">
        <f aca="false">Тарифы!$C$72</f>
        <v>видео</v>
      </c>
      <c r="D24" s="138" t="n">
        <f aca="false">Тарифы!$H$72*Тарифы!$F$72</f>
        <v>1.701</v>
      </c>
      <c r="E24" s="133" t="n">
        <f aca="false">D24*Технический!$C$17</f>
        <v>144.585</v>
      </c>
      <c r="F24" s="133" t="n">
        <f aca="false">E24*IF(Тарифы!$I$72=1,Технический!$C$18,Технический!$C$19)</f>
        <v>7.952175</v>
      </c>
      <c r="G24" s="133" t="n">
        <f aca="false">(E24+F24)*Технический!$C$23</f>
        <v>0.5582860605</v>
      </c>
      <c r="H24" s="133" t="n">
        <f aca="false">(E24+F24)*Технический!$C$25</f>
        <v>27.5067036885246</v>
      </c>
      <c r="I24" s="183" t="n">
        <f aca="false">E24+F24+G24+H24</f>
        <v>180.602164749025</v>
      </c>
      <c r="J24" s="160" t="n">
        <f aca="false">I24/Тарифы!$G$72</f>
        <v>0.281311783098169</v>
      </c>
    </row>
    <row r="25" customFormat="false" ht="15" hidden="false" customHeight="true" outlineLevel="0" collapsed="false">
      <c r="B25" s="117" t="str">
        <f aca="false">Тарифы!$B$73</f>
        <v>seedance-2-0-fast · 720p</v>
      </c>
      <c r="C25" s="131" t="str">
        <f aca="false">Тарифы!$C$73</f>
        <v>видео</v>
      </c>
      <c r="D25" s="138" t="n">
        <f aca="false">Тарифы!$H$73*Тарифы!$F$73</f>
        <v>0.61</v>
      </c>
      <c r="E25" s="133" t="n">
        <f aca="false">D25*Технический!$C$17</f>
        <v>51.85</v>
      </c>
      <c r="F25" s="133" t="n">
        <f aca="false">E25*IF(Тарифы!$I$73=1,Технический!$C$18,Технический!$C$19)</f>
        <v>2.85175</v>
      </c>
      <c r="G25" s="133" t="n">
        <f aca="false">(E25+F25)*Технический!$C$23</f>
        <v>0.200208405</v>
      </c>
      <c r="H25" s="133" t="n">
        <f aca="false">(E25+F25)*Технический!$C$25</f>
        <v>9.86425</v>
      </c>
      <c r="I25" s="183" t="n">
        <f aca="false">E25+F25+G25+H25</f>
        <v>64.766208405</v>
      </c>
      <c r="J25" s="160" t="n">
        <f aca="false">I25/Тарифы!$G$73</f>
        <v>0.311376001947115</v>
      </c>
    </row>
    <row r="26" customFormat="false" ht="15" hidden="false" customHeight="true" outlineLevel="0" collapsed="false">
      <c r="B26" s="181" t="s">
        <v>1017</v>
      </c>
      <c r="C26" s="181"/>
      <c r="D26" s="181"/>
      <c r="E26" s="181"/>
      <c r="F26" s="181"/>
      <c r="G26" s="181"/>
      <c r="H26" s="181"/>
      <c r="I26" s="181"/>
      <c r="J26" s="181"/>
    </row>
    <row r="28" customFormat="false" ht="15" hidden="false" customHeight="true" outlineLevel="0" collapsed="false">
      <c r="B28" s="4" t="s">
        <v>1018</v>
      </c>
      <c r="C28" s="5"/>
      <c r="D28" s="5"/>
      <c r="E28" s="5"/>
      <c r="F28" s="5"/>
      <c r="G28" s="5"/>
      <c r="H28" s="5"/>
      <c r="I28" s="5"/>
      <c r="J28" s="5"/>
    </row>
    <row r="29" customFormat="false" ht="18.75" hidden="false" customHeight="true" outlineLevel="0" collapsed="false">
      <c r="B29" s="182" t="s">
        <v>109</v>
      </c>
      <c r="C29" s="182" t="s">
        <v>1019</v>
      </c>
      <c r="D29" s="182" t="s">
        <v>1020</v>
      </c>
      <c r="E29" s="182" t="s">
        <v>1021</v>
      </c>
      <c r="F29" s="182" t="s">
        <v>69</v>
      </c>
      <c r="G29" s="182" t="s">
        <v>1022</v>
      </c>
      <c r="H29" s="182" t="s">
        <v>121</v>
      </c>
    </row>
    <row r="30" customFormat="false" ht="15" hidden="false" customHeight="true" outlineLevel="0" collapsed="false">
      <c r="B30" s="28" t="s">
        <v>1023</v>
      </c>
      <c r="C30" s="160" t="n">
        <f aca="false">Тарифы!C19</f>
        <v>0.509787234042553</v>
      </c>
      <c r="D30" s="160" t="n">
        <f aca="false">Технический!$C$43</f>
        <v>0.219</v>
      </c>
      <c r="E30" s="160" t="n">
        <f aca="false">C30*Технический!$C$61</f>
        <v>0.0174602127659575</v>
      </c>
      <c r="F30" s="160" t="n">
        <f aca="false">C30*Технический!$C$65</f>
        <v>0.0305872340425532</v>
      </c>
      <c r="G30" s="184" t="n">
        <f aca="false">C30-D30-E30-F30</f>
        <v>0.242739787234043</v>
      </c>
      <c r="H30" s="118" t="n">
        <f aca="false">G30/C30</f>
        <v>0.476159015025042</v>
      </c>
    </row>
    <row r="31" customFormat="false" ht="15" hidden="false" customHeight="true" outlineLevel="0" collapsed="false">
      <c r="B31" s="28" t="s">
        <v>1024</v>
      </c>
      <c r="C31" s="160" t="n">
        <f aca="false">Тарифы!D19</f>
        <v>0.374772727272727</v>
      </c>
      <c r="D31" s="160" t="n">
        <f aca="false">Технический!$C$43</f>
        <v>0.219</v>
      </c>
      <c r="E31" s="160" t="n">
        <f aca="false">C31*Технический!$C$61</f>
        <v>0.0128359659090909</v>
      </c>
      <c r="F31" s="160" t="n">
        <f aca="false">C31*Технический!$C$65</f>
        <v>0.0224863636363636</v>
      </c>
      <c r="G31" s="184" t="n">
        <f aca="false">C31-D31-E31-F31</f>
        <v>0.120450397727273</v>
      </c>
      <c r="H31" s="118" t="n">
        <f aca="false">G31/C31</f>
        <v>0.321395845967253</v>
      </c>
    </row>
    <row r="32" customFormat="false" ht="15" hidden="false" customHeight="true" outlineLevel="0" collapsed="false">
      <c r="B32" s="28" t="s">
        <v>1025</v>
      </c>
      <c r="C32" s="160" t="n">
        <f aca="false">Тарифы!E19</f>
        <v>0.368834951456311</v>
      </c>
      <c r="D32" s="160" t="n">
        <f aca="false">Технический!$C$43</f>
        <v>0.219</v>
      </c>
      <c r="E32" s="160" t="n">
        <f aca="false">C32*Технический!$C$61</f>
        <v>0.0126325970873786</v>
      </c>
      <c r="F32" s="160" t="n">
        <f aca="false">C32*Технический!$C$65</f>
        <v>0.0221300970873786</v>
      </c>
      <c r="G32" s="184" t="n">
        <f aca="false">C32-D32-E32-F32</f>
        <v>0.115072257281553</v>
      </c>
      <c r="H32" s="118" t="n">
        <f aca="false">G32/C32</f>
        <v>0.311988483811529</v>
      </c>
    </row>
    <row r="33" customFormat="false" ht="15" hidden="false" customHeight="true" outlineLevel="0" collapsed="false">
      <c r="B33" s="28" t="s">
        <v>1026</v>
      </c>
      <c r="C33" s="160" t="n">
        <f aca="false">Тарифы!F19</f>
        <v>0.364716981132075</v>
      </c>
      <c r="D33" s="160" t="n">
        <f aca="false">Технический!$C$43</f>
        <v>0.219</v>
      </c>
      <c r="E33" s="160" t="n">
        <f aca="false">C33*Технический!$C$61</f>
        <v>0.0124915566037736</v>
      </c>
      <c r="F33" s="160" t="n">
        <f aca="false">C33*Технический!$C$65</f>
        <v>0.0218830188679245</v>
      </c>
      <c r="G33" s="184" t="n">
        <f aca="false">C33-D33-E33-F33</f>
        <v>0.111342405660377</v>
      </c>
      <c r="H33" s="118" t="n">
        <f aca="false">G33/C33</f>
        <v>0.305284402483187</v>
      </c>
    </row>
    <row r="34" customFormat="false" ht="15" hidden="false" customHeight="true" outlineLevel="0" collapsed="false">
      <c r="B34" s="28" t="s">
        <v>1027</v>
      </c>
      <c r="C34" s="160" t="n">
        <f aca="false">Тарифы!G19</f>
        <v>0.359969230769231</v>
      </c>
      <c r="D34" s="160" t="n">
        <f aca="false">Технический!$C$43</f>
        <v>0.219</v>
      </c>
      <c r="E34" s="160" t="n">
        <f aca="false">C34*Технический!$C$61</f>
        <v>0.0123289461538462</v>
      </c>
      <c r="F34" s="160" t="n">
        <f aca="false">C34*Технический!$C$65</f>
        <v>0.0215981538461538</v>
      </c>
      <c r="G34" s="184" t="n">
        <f aca="false">C34-D34-E34-F34</f>
        <v>0.107042130769231</v>
      </c>
      <c r="H34" s="118" t="n">
        <f aca="false">G34/C34</f>
        <v>0.297364667920335</v>
      </c>
    </row>
    <row r="35" customFormat="false" ht="15" hidden="false" customHeight="true" outlineLevel="0" collapsed="false">
      <c r="B35" s="28" t="s">
        <v>1028</v>
      </c>
      <c r="C35" s="160" t="n">
        <f aca="false">Технический!C101</f>
        <v>0.48</v>
      </c>
      <c r="D35" s="160" t="n">
        <f aca="false">Технический!$C$43</f>
        <v>0.219</v>
      </c>
      <c r="E35" s="160" t="n">
        <f aca="false">C35*Технический!$C$61</f>
        <v>0.01644</v>
      </c>
      <c r="F35" s="160" t="n">
        <f aca="false">C35*Технический!$C$65</f>
        <v>0.0288</v>
      </c>
      <c r="G35" s="184" t="n">
        <f aca="false">C35-D35-E35-F35</f>
        <v>0.21576</v>
      </c>
      <c r="H35" s="118" t="n">
        <f aca="false">G35/C35</f>
        <v>0.4495</v>
      </c>
    </row>
    <row r="36" customFormat="false" ht="15" hidden="false" customHeight="true" outlineLevel="0" collapsed="false">
      <c r="B36" s="181" t="s">
        <v>1029</v>
      </c>
      <c r="C36" s="181"/>
      <c r="D36" s="181"/>
      <c r="E36" s="181"/>
      <c r="F36" s="181"/>
      <c r="G36" s="181"/>
      <c r="H36" s="181"/>
      <c r="I36" s="181"/>
      <c r="J36" s="181"/>
    </row>
    <row r="38" customFormat="false" ht="15" hidden="false" customHeight="true" outlineLevel="0" collapsed="false">
      <c r="B38" s="4" t="s">
        <v>1030</v>
      </c>
      <c r="C38" s="5"/>
      <c r="D38" s="5"/>
      <c r="E38" s="5"/>
      <c r="F38" s="5"/>
      <c r="G38" s="5"/>
      <c r="H38" s="5"/>
      <c r="I38" s="5"/>
      <c r="J38" s="5"/>
    </row>
    <row r="39" customFormat="false" ht="15" hidden="false" customHeight="true" outlineLevel="0" collapsed="false">
      <c r="B39" s="19" t="s">
        <v>1031</v>
      </c>
      <c r="C39" s="23" t="n">
        <f aca="false">Технический!C82*Тарифы!C10+Технический!C83*Тарифы!D10+Технический!C84*Тарифы!E10+Технический!C85*Тарифы!F10+Технический!C95*Тарифы!G10</f>
        <v>1297.356</v>
      </c>
    </row>
    <row r="40" customFormat="false" ht="15" hidden="false" customHeight="true" outlineLevel="0" collapsed="false">
      <c r="B40" s="19" t="s">
        <v>1032</v>
      </c>
      <c r="C40" s="23" t="n">
        <f aca="false">Технический!C81*Технический!C87*C39</f>
        <v>859498.35</v>
      </c>
    </row>
    <row r="41" customFormat="false" ht="15" hidden="false" customHeight="true" outlineLevel="0" collapsed="false">
      <c r="B41" s="19" t="s">
        <v>1033</v>
      </c>
      <c r="C41" s="23" t="n">
        <f aca="false">Технический!C103</f>
        <v>49275</v>
      </c>
    </row>
    <row r="42" customFormat="false" ht="15" hidden="false" customHeight="true" outlineLevel="0" collapsed="false">
      <c r="B42" s="185" t="s">
        <v>1034</v>
      </c>
      <c r="C42" s="186" t="n">
        <f aca="false">C40+C41</f>
        <v>908773.35</v>
      </c>
    </row>
    <row r="43" customFormat="false" ht="15" hidden="false" customHeight="true" outlineLevel="0" collapsed="false">
      <c r="B43" s="19" t="s">
        <v>1035</v>
      </c>
      <c r="C43" s="23" t="n">
        <f aca="false">C40*Технический!C94+C41</f>
        <v>736873.68</v>
      </c>
    </row>
    <row r="44" customFormat="false" ht="15" hidden="false" customHeight="true" outlineLevel="0" collapsed="false">
      <c r="B44" s="19" t="s">
        <v>1036</v>
      </c>
      <c r="C44" s="23" t="n">
        <f aca="false">C40*(1-Технический!C94)</f>
        <v>171899.67</v>
      </c>
    </row>
    <row r="47" customFormat="false" ht="14.25" hidden="false" customHeight="true" outlineLevel="0" collapsed="false">
      <c r="B47" s="1" t="s">
        <v>1037</v>
      </c>
    </row>
    <row r="48" customFormat="false" ht="14.25" hidden="false" customHeight="true" outlineLevel="0" collapsed="false">
      <c r="B48" s="117" t="str">
        <f aca="false">Тарифы!$B$74</f>
        <v>wan-2-7 · 720p (kie)</v>
      </c>
      <c r="C48" s="131" t="str">
        <f aca="false">Тарифы!$C$74</f>
        <v>видео</v>
      </c>
      <c r="D48" s="138" t="n">
        <f aca="false">Тарифы!$H$74*Тарифы!$F$74</f>
        <v>0.4</v>
      </c>
      <c r="E48" s="133" t="n">
        <f aca="false">D48*Технический!$C$17</f>
        <v>34</v>
      </c>
      <c r="F48" s="133" t="n">
        <f aca="false">E48*IF(Тарифы!$I$74=1,Технический!$C$18,Технический!$C$19)</f>
        <v>0</v>
      </c>
      <c r="G48" s="133" t="n">
        <f aca="false">(E48+F48)*Технический!$C$23</f>
        <v>0.12444</v>
      </c>
      <c r="H48" s="133" t="n">
        <f aca="false">(E48+F48)*Технический!$C$25</f>
        <v>6.13114754098361</v>
      </c>
      <c r="I48" s="133" t="n">
        <f aca="false">E48+F48+G48+H48</f>
        <v>40.2555875409836</v>
      </c>
      <c r="J48" s="118" t="n">
        <f aca="false">I48/Тарифы!$G$74</f>
        <v>0.134185291803279</v>
      </c>
    </row>
    <row r="49" customFormat="false" ht="14.25" hidden="false" customHeight="true" outlineLevel="0" collapsed="false">
      <c r="B49" s="117" t="str">
        <f aca="false">Тарифы!$B$75</f>
        <v>kling-v3-standard</v>
      </c>
      <c r="C49" s="131" t="str">
        <f aca="false">Тарифы!$C$75</f>
        <v>видео</v>
      </c>
      <c r="D49" s="138" t="n">
        <f aca="false">Тарифы!$H$75*Тарифы!$F$75</f>
        <v>0.63</v>
      </c>
      <c r="E49" s="133" t="n">
        <f aca="false">D49*Технический!$C$17</f>
        <v>53.55</v>
      </c>
      <c r="F49" s="133" t="n">
        <f aca="false">E49*IF(Тарифы!$I$75=1,Технический!$C$18,Технический!$C$19)</f>
        <v>2.94525</v>
      </c>
      <c r="G49" s="133" t="n">
        <f aca="false">(E49+F49)*Технический!$C$23</f>
        <v>0.206772615</v>
      </c>
      <c r="H49" s="133" t="n">
        <f aca="false">(E49+F49)*Технический!$C$25</f>
        <v>10.1876680327869</v>
      </c>
      <c r="I49" s="133" t="n">
        <f aca="false">E49+F49+G49+H49</f>
        <v>66.8896906477869</v>
      </c>
      <c r="J49" s="118" t="n">
        <f aca="false">I49/Тарифы!$G$75</f>
        <v>0.19111340185082</v>
      </c>
    </row>
    <row r="50" customFormat="false" ht="14.25" hidden="false" customHeight="true" outlineLevel="0" collapsed="false">
      <c r="B50" s="117" t="str">
        <f aca="false">Тарифы!$B$91</f>
        <v>seedream-5-0-pro · 1K</v>
      </c>
      <c r="C50" s="131" t="str">
        <f aca="false">Тарифы!$C$91</f>
        <v>карт</v>
      </c>
      <c r="D50" s="138" t="n">
        <f aca="false">Тарифы!$H$91*Тарифы!$F$91</f>
        <v>0.035</v>
      </c>
      <c r="E50" s="133" t="n">
        <f aca="false">D50*Технический!$C$17</f>
        <v>2.975</v>
      </c>
      <c r="F50" s="133" t="n">
        <f aca="false">E50*IF(Тарифы!$I$91=1,Технический!$C$18,Технический!$C$19)</f>
        <v>0</v>
      </c>
      <c r="G50" s="133" t="n">
        <f aca="false">(E50+F50)*Технический!$C$23</f>
        <v>0.0108885</v>
      </c>
      <c r="H50" s="133" t="n">
        <f aca="false">(E50+F50)*Технический!$C$25</f>
        <v>0.536475409836066</v>
      </c>
      <c r="I50" s="133" t="n">
        <f aca="false">E50+F50+G50+H50</f>
        <v>3.52236390983607</v>
      </c>
      <c r="J50" s="118" t="n">
        <f aca="false">I50/Тарифы!$G$91</f>
        <v>0.234824260655738</v>
      </c>
    </row>
    <row r="51" customFormat="false" ht="14.25" hidden="false" customHeight="true" outlineLevel="0" collapsed="false">
      <c r="B51" s="117" t="str">
        <f aca="false">Тарифы!$B$92</f>
        <v>seedream-5-0-lite</v>
      </c>
      <c r="C51" s="131" t="str">
        <f aca="false">Тарифы!$C$92</f>
        <v>карт</v>
      </c>
      <c r="D51" s="138" t="n">
        <f aca="false">Тарифы!$H$92*Тарифы!$F$92</f>
        <v>0.0275</v>
      </c>
      <c r="E51" s="133" t="n">
        <f aca="false">D51*Технический!$C$17</f>
        <v>2.3375</v>
      </c>
      <c r="F51" s="133" t="n">
        <f aca="false">E51*IF(Тарифы!$I$92=1,Технический!$C$18,Технический!$C$19)</f>
        <v>0</v>
      </c>
      <c r="G51" s="133" t="n">
        <f aca="false">(E51+F51)*Технический!$C$23</f>
        <v>0.00855525</v>
      </c>
      <c r="H51" s="133" t="n">
        <f aca="false">(E51+F51)*Технический!$C$25</f>
        <v>0.421516393442623</v>
      </c>
      <c r="I51" s="133" t="n">
        <f aca="false">E51+F51+G51+H51</f>
        <v>2.76757164344262</v>
      </c>
      <c r="J51" s="118" t="n">
        <f aca="false">I51/Тарифы!$G$92</f>
        <v>0.276757164344262</v>
      </c>
    </row>
  </sheetData>
  <mergeCells count="2">
    <mergeCell ref="B26:J26"/>
    <mergeCell ref="B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5" min="3" style="1" width="18.63"/>
  </cols>
  <sheetData>
    <row r="2" customFormat="false" ht="17.25" hidden="false" customHeight="true" outlineLevel="0" collapsed="false">
      <c r="B2" s="31" t="s">
        <v>1038</v>
      </c>
    </row>
    <row r="3" customFormat="false" ht="15" hidden="false" customHeight="true" outlineLevel="0" collapsed="false">
      <c r="B3" s="8" t="s">
        <v>1039</v>
      </c>
    </row>
    <row r="5" customFormat="false" ht="15" hidden="false" customHeight="true" outlineLevel="0" collapsed="false">
      <c r="B5" s="4" t="s">
        <v>1040</v>
      </c>
      <c r="C5" s="5"/>
      <c r="D5" s="187" t="s">
        <v>1041</v>
      </c>
    </row>
    <row r="6" customFormat="false" ht="15" hidden="false" customHeight="true" outlineLevel="0" collapsed="false">
      <c r="B6" s="19" t="s">
        <v>1042</v>
      </c>
      <c r="C6" s="23" t="n">
        <f aca="false">Технический!C81*(Технический!C82*Тарифы!C7+Технический!C83*Тарифы!D7+Технический!C84*Тарифы!E7+Технический!C85*Тарифы!F7+Технический!C95*Тарифы!G7)*(1-Технический!C88*Технический!C89)</f>
        <v>2244000</v>
      </c>
      <c r="D6" s="188" t="n">
        <f aca="false">C6/$C$8</f>
        <v>0.954081632653061</v>
      </c>
    </row>
    <row r="7" customFormat="false" ht="15" hidden="false" customHeight="true" outlineLevel="0" collapsed="false">
      <c r="B7" s="19" t="s">
        <v>1043</v>
      </c>
      <c r="C7" s="23" t="n">
        <f aca="false">Технический!C102</f>
        <v>108000</v>
      </c>
      <c r="D7" s="188" t="n">
        <f aca="false">C7/$C$8</f>
        <v>0.0459183673469388</v>
      </c>
    </row>
    <row r="8" customFormat="false" ht="15" hidden="false" customHeight="true" outlineLevel="0" collapsed="false">
      <c r="B8" s="189" t="s">
        <v>1044</v>
      </c>
      <c r="C8" s="190" t="n">
        <f aca="false">C6+C7</f>
        <v>2352000</v>
      </c>
      <c r="D8" s="191" t="n">
        <f aca="false">C8/$C$8</f>
        <v>1</v>
      </c>
    </row>
    <row r="10" customFormat="false" ht="15" hidden="false" customHeight="true" outlineLevel="0" collapsed="false">
      <c r="B10" s="4" t="s">
        <v>1045</v>
      </c>
      <c r="C10" s="5"/>
      <c r="D10" s="5"/>
    </row>
    <row r="11" customFormat="false" ht="15" hidden="false" customHeight="true" outlineLevel="0" collapsed="false">
      <c r="B11" s="8" t="s">
        <v>1046</v>
      </c>
      <c r="C11" s="192" t="n">
        <f aca="false">'Юнит-экономика'!C42</f>
        <v>908773.35</v>
      </c>
    </row>
    <row r="12" customFormat="false" ht="15" hidden="false" customHeight="true" outlineLevel="0" collapsed="false">
      <c r="B12" s="19" t="s">
        <v>1047</v>
      </c>
      <c r="C12" s="23" t="n">
        <f aca="false">-('Юнит-экономика'!C43*Технический!C17/Технический!C26+'Юнит-экономика'!C44*Технический!C17/Технический!C27)</f>
        <v>-735107.307559276</v>
      </c>
      <c r="D12" s="188" t="n">
        <f aca="false">C12/$C$8</f>
        <v>-0.312545623962277</v>
      </c>
    </row>
    <row r="13" customFormat="false" ht="15" hidden="false" customHeight="true" outlineLevel="0" collapsed="false">
      <c r="B13" s="19" t="s">
        <v>1048</v>
      </c>
      <c r="C13" s="23" t="n">
        <f aca="false">-('Юнит-экономика'!C43*Технический!C17*Технический!C18/Технический!C26+'Юнит-экономика'!C44*Технический!C17*Технический!C19/Технический!C27)</f>
        <v>-32445.6158341017</v>
      </c>
      <c r="D13" s="188" t="n">
        <f aca="false">C13/$C$8</f>
        <v>-0.0137949046913698</v>
      </c>
    </row>
    <row r="14" customFormat="false" ht="15" hidden="false" customHeight="true" outlineLevel="0" collapsed="false">
      <c r="B14" s="19" t="s">
        <v>1049</v>
      </c>
      <c r="C14" s="23" t="n">
        <f aca="false">-('Юнит-экономика'!C43*Технический!C17*(1+Технический!C18)*Технический!C23/Технический!C26+'Юнит-экономика'!C44*Технический!C17*(1+Технический!C19)*Технический!C23/Технический!C27)</f>
        <v>-2809.24369961976</v>
      </c>
      <c r="D14" s="188" t="n">
        <f aca="false">C14/$C$8</f>
        <v>-0.00119440633487235</v>
      </c>
    </row>
    <row r="15" customFormat="false" ht="15" hidden="false" customHeight="true" outlineLevel="0" collapsed="false">
      <c r="B15" s="19" t="s">
        <v>1050</v>
      </c>
      <c r="C15" s="23" t="n">
        <f aca="false">-('Юнит-экономика'!C43*Технический!C17*(1+Технический!C18)*Технический!C25/Технический!C26+'Юнит-экономика'!C44*Технический!C17*(1+Технический!C19)*Технический!C25/Технический!C27)</f>
        <v>-138411.182907003</v>
      </c>
      <c r="D15" s="188" t="n">
        <f aca="false">C15/$C$8</f>
        <v>-0.058848292052297</v>
      </c>
    </row>
    <row r="16" customFormat="false" ht="15" hidden="false" customHeight="true" outlineLevel="0" collapsed="false">
      <c r="B16" s="185" t="s">
        <v>1051</v>
      </c>
      <c r="C16" s="193" t="n">
        <f aca="false">C8+C12+C13+C14+C15</f>
        <v>1443226.65</v>
      </c>
      <c r="D16" s="194" t="n">
        <f aca="false">C16/$C$8</f>
        <v>0.613616772959184</v>
      </c>
    </row>
    <row r="18" customFormat="false" ht="15" hidden="false" customHeight="true" outlineLevel="0" collapsed="false">
      <c r="B18" s="4" t="s">
        <v>1052</v>
      </c>
      <c r="C18" s="5"/>
      <c r="D18" s="5"/>
    </row>
    <row r="19" customFormat="false" ht="15" hidden="false" customHeight="true" outlineLevel="0" collapsed="false">
      <c r="B19" s="19" t="s">
        <v>1053</v>
      </c>
      <c r="C19" s="23" t="n">
        <f aca="false">-C8*Технический!C54</f>
        <v>-42924</v>
      </c>
      <c r="D19" s="188" t="n">
        <f aca="false">C19/$C$8</f>
        <v>-0.01825</v>
      </c>
    </row>
    <row r="20" customFormat="false" ht="15" hidden="false" customHeight="true" outlineLevel="0" collapsed="false">
      <c r="B20" s="19" t="s">
        <v>1054</v>
      </c>
      <c r="C20" s="23" t="n">
        <f aca="false">-C8*Технический!C58-Технический!C59</f>
        <v>-35280</v>
      </c>
      <c r="D20" s="188" t="n">
        <f aca="false">C20/$C$8</f>
        <v>-0.015</v>
      </c>
    </row>
    <row r="21" customFormat="false" ht="15" hidden="false" customHeight="true" outlineLevel="0" collapsed="false">
      <c r="B21" s="19" t="s">
        <v>1055</v>
      </c>
      <c r="C21" s="23" t="n">
        <f aca="false">-C8*Технический!C60</f>
        <v>-2352</v>
      </c>
      <c r="D21" s="188" t="n">
        <f aca="false">C21/$C$8</f>
        <v>-0.001</v>
      </c>
    </row>
    <row r="22" customFormat="false" ht="15" hidden="false" customHeight="true" outlineLevel="0" collapsed="false">
      <c r="B22" s="19" t="s">
        <v>1056</v>
      </c>
      <c r="C22" s="23" t="n">
        <f aca="false">-Технический!C74</f>
        <v>-52000</v>
      </c>
      <c r="D22" s="188" t="n">
        <f aca="false">C22/$C$8</f>
        <v>-0.022108843537415</v>
      </c>
    </row>
    <row r="23" customFormat="false" ht="15" hidden="false" customHeight="true" outlineLevel="0" collapsed="false">
      <c r="B23" s="19" t="s">
        <v>1057</v>
      </c>
      <c r="C23" s="23" t="n">
        <f aca="false">-Технический!C78*Технический!C81</f>
        <v>-3000</v>
      </c>
      <c r="D23" s="188" t="n">
        <f aca="false">C23/$C$8</f>
        <v>-0.00127551020408163</v>
      </c>
    </row>
    <row r="24" customFormat="false" ht="15" hidden="false" customHeight="true" outlineLevel="0" collapsed="false">
      <c r="B24" s="19" t="s">
        <v>1058</v>
      </c>
      <c r="C24" s="23" t="n">
        <f aca="false">-Технический!C75-Технический!C76-Технический!C77</f>
        <v>-2000</v>
      </c>
      <c r="D24" s="188" t="n">
        <f aca="false">C24/$C$8</f>
        <v>-0.000850340136054422</v>
      </c>
    </row>
    <row r="25" customFormat="false" ht="15" hidden="false" customHeight="true" outlineLevel="0" collapsed="false">
      <c r="B25" s="19" t="s">
        <v>1059</v>
      </c>
      <c r="C25" s="23" t="n">
        <f aca="false">-Технический!C69</f>
        <v>-4782.5</v>
      </c>
      <c r="D25" s="188" t="n">
        <f aca="false">C25/$C$8</f>
        <v>-0.00203337585034014</v>
      </c>
    </row>
    <row r="26" customFormat="false" ht="15" hidden="false" customHeight="true" outlineLevel="0" collapsed="false">
      <c r="B26" s="19" t="s">
        <v>1060</v>
      </c>
      <c r="C26" s="23" t="n">
        <f aca="false">-MAX(0,(C8*12-Технический!C70))*0.01/12</f>
        <v>-23270</v>
      </c>
      <c r="D26" s="188" t="n">
        <f aca="false">C26/$C$8</f>
        <v>-0.0098937074829932</v>
      </c>
    </row>
    <row r="27" customFormat="false" ht="15" hidden="false" customHeight="true" outlineLevel="0" collapsed="false">
      <c r="B27" s="185" t="s">
        <v>1061</v>
      </c>
      <c r="C27" s="193" t="n">
        <f aca="false">C16+SUM(C19:C26)</f>
        <v>1277618.15</v>
      </c>
      <c r="D27" s="194" t="n">
        <f aca="false">C27/$C$8</f>
        <v>0.543204995748299</v>
      </c>
    </row>
    <row r="29" customFormat="false" ht="15" hidden="false" customHeight="true" outlineLevel="0" collapsed="false">
      <c r="B29" s="4" t="s">
        <v>1062</v>
      </c>
      <c r="C29" s="5"/>
      <c r="D29" s="5"/>
    </row>
    <row r="30" customFormat="false" ht="15" hidden="false" customHeight="true" outlineLevel="0" collapsed="false">
      <c r="B30" s="19" t="s">
        <v>1063</v>
      </c>
      <c r="C30" s="23" t="n">
        <f aca="false">-Технический!C81*Технический!C92*Технический!C93</f>
        <v>-240000</v>
      </c>
      <c r="D30" s="188" t="n">
        <f aca="false">C30/$C$8</f>
        <v>-0.102040816326531</v>
      </c>
    </row>
    <row r="31" customFormat="false" ht="15" hidden="false" customHeight="true" outlineLevel="0" collapsed="false">
      <c r="B31" s="19" t="s">
        <v>1064</v>
      </c>
      <c r="C31" s="23" t="n">
        <f aca="false">-IF(Технический!C64=1, MAX(0,C8*Технический!C65-(-C25-C26)), MAX(Технический!C66*MAX(0,C8-(-C12-C13-C14-C15)-(-SUM(C19:C26))-(-C30)), Технический!C67*C8))</f>
        <v>-113067.5</v>
      </c>
      <c r="D31" s="188" t="n">
        <f aca="false">C31/$C$8</f>
        <v>-0.0480729166666667</v>
      </c>
    </row>
    <row r="32" customFormat="false" ht="15.75" hidden="false" customHeight="true" outlineLevel="0" collapsed="false">
      <c r="B32" s="185" t="s">
        <v>1065</v>
      </c>
      <c r="C32" s="195" t="n">
        <f aca="false">C27+C30+C31</f>
        <v>924550.65</v>
      </c>
      <c r="D32" s="194" t="n">
        <f aca="false">C32/$C$8</f>
        <v>0.393091262755102</v>
      </c>
    </row>
    <row r="34" customFormat="false" ht="15" hidden="false" customHeight="true" outlineLevel="0" collapsed="false">
      <c r="B34" s="4" t="s">
        <v>1066</v>
      </c>
      <c r="C34" s="5"/>
      <c r="D34" s="5"/>
    </row>
    <row r="35" customFormat="false" ht="15" hidden="false" customHeight="true" outlineLevel="0" collapsed="false">
      <c r="B35" s="10" t="s">
        <v>1067</v>
      </c>
      <c r="C35" s="196" t="n">
        <f aca="false">C32/C8</f>
        <v>0.393091262755102</v>
      </c>
    </row>
    <row r="36" customFormat="false" ht="15" hidden="false" customHeight="true" outlineLevel="0" collapsed="false">
      <c r="B36" s="19" t="s">
        <v>1068</v>
      </c>
      <c r="C36" s="23" t="n">
        <f aca="false">C32/Технический!C81</f>
        <v>924.55065</v>
      </c>
    </row>
    <row r="37" customFormat="false" ht="15" hidden="false" customHeight="true" outlineLevel="0" collapsed="false">
      <c r="B37" s="19" t="s">
        <v>1069</v>
      </c>
      <c r="C37" s="22" t="n">
        <f aca="false">Тарифы!C20</f>
        <v>0.19237895650007</v>
      </c>
    </row>
    <row r="38" customFormat="false" ht="15" hidden="false" customHeight="true" outlineLevel="0" collapsed="false">
      <c r="B38" s="19" t="s">
        <v>1070</v>
      </c>
      <c r="C38" s="22" t="n">
        <f aca="false">MIN(Тарифы!C8:F8)</f>
        <v>0.0913084130673938</v>
      </c>
    </row>
    <row r="39" customFormat="false" ht="15" hidden="false" customHeight="true" outlineLevel="0" collapsed="false">
      <c r="B39" s="19" t="s">
        <v>1071</v>
      </c>
      <c r="C39" s="22" t="n">
        <f aca="false">C7/C8</f>
        <v>0.0459183673469388</v>
      </c>
    </row>
    <row r="41" customFormat="false" ht="15" hidden="false" customHeight="true" outlineLevel="0" collapsed="false">
      <c r="B41" s="19" t="s">
        <v>1072</v>
      </c>
      <c r="C41" s="19"/>
      <c r="D41" s="19"/>
      <c r="E41" s="19"/>
      <c r="F41" s="19"/>
    </row>
    <row r="42" customFormat="false" ht="30" hidden="false" customHeight="true" outlineLevel="0" collapsed="false">
      <c r="B42" s="19"/>
      <c r="C42" s="197" t="s">
        <v>1073</v>
      </c>
      <c r="D42" s="198" t="s">
        <v>1074</v>
      </c>
      <c r="E42" s="199" t="s">
        <v>1075</v>
      </c>
      <c r="F42" s="19"/>
    </row>
    <row r="43" customFormat="false" ht="30" hidden="false" customHeight="true" outlineLevel="0" collapsed="false">
      <c r="B43" s="19" t="s">
        <v>1076</v>
      </c>
      <c r="C43" s="23" t="n">
        <f aca="false">$E$53</f>
        <v>486693</v>
      </c>
      <c r="D43" s="22" t="n">
        <f aca="false">$E$53-(Технический!$C$81*(Технический!$C$82*Тарифы!$C$18+Технический!$C$83*Тарифы!$D$18+Технический!$C$84*Тарифы!$E$18+Технический!$C$85*Тарифы!$F$18+Технический!$C$95*Тарифы!$G$18)+Технический!$C$81*Технический!$C$99*Технический!$C$100)*(Технический!$C$46-Технический!$C$43)</f>
        <v>331738.2</v>
      </c>
      <c r="E43" s="19" t="n">
        <f aca="false">$E$53-(Технический!$C$81*(Технический!$C$82*Тарифы!$C$18+Технический!$C$83*Тарифы!$D$18+Технический!$C$84*Тарифы!$E$18+Технический!$C$85*Тарифы!$F$18+Технический!$C$95*Тарифы!$G$18)+Технический!$C$81*Технический!$C$99*Технический!$C$100)*(Технический!$C$47-Технический!$C$43)</f>
        <v>6820.87777586095</v>
      </c>
      <c r="F43" s="19"/>
    </row>
    <row r="44" customFormat="false" ht="15" hidden="false" customHeight="true" outlineLevel="0" collapsed="false">
      <c r="B44" s="19" t="s">
        <v>1077</v>
      </c>
      <c r="C44" s="22" t="n">
        <f aca="false">C43/$C$8</f>
        <v>0.206927295918367</v>
      </c>
      <c r="D44" s="22" t="n">
        <f aca="false">D43/$C$8</f>
        <v>0.141045153061225</v>
      </c>
      <c r="E44" s="200" t="n">
        <f aca="false">E43/$C$8</f>
        <v>0.00290003306796809</v>
      </c>
      <c r="F44" s="19"/>
    </row>
    <row r="45" customFormat="false" ht="15" hidden="false" customHeight="true" outlineLevel="0" collapsed="false">
      <c r="B45" s="19" t="s">
        <v>1078</v>
      </c>
      <c r="C45" s="201" t="n">
        <f aca="false">Технический!$C$43</f>
        <v>0.219</v>
      </c>
      <c r="D45" s="201" t="n">
        <f aca="false">Технический!$C$46</f>
        <v>0.2442</v>
      </c>
      <c r="E45" s="202" t="n">
        <f aca="false">Технический!$C$47</f>
        <v>0.297040676894477</v>
      </c>
      <c r="F45" s="19"/>
    </row>
    <row r="46" customFormat="false" ht="15" hidden="false" customHeight="true" outlineLevel="0" collapsed="false">
      <c r="B46" s="19"/>
      <c r="C46" s="19"/>
      <c r="D46" s="19"/>
      <c r="E46" s="19"/>
      <c r="F46" s="19"/>
    </row>
    <row r="47" customFormat="false" ht="15" hidden="false" customHeight="true" outlineLevel="0" collapsed="false">
      <c r="B47" s="203"/>
      <c r="C47" s="19"/>
      <c r="D47" s="19"/>
      <c r="E47" s="19"/>
      <c r="F47" s="19"/>
    </row>
    <row r="48" customFormat="false" ht="15" hidden="false" customHeight="true" outlineLevel="0" collapsed="false">
      <c r="B48" s="19"/>
      <c r="C48" s="19"/>
      <c r="D48" s="19"/>
      <c r="E48" s="19"/>
      <c r="F48" s="19"/>
    </row>
    <row r="49" customFormat="false" ht="15" hidden="false" customHeight="true" outlineLevel="0" collapsed="false">
      <c r="B49" s="19"/>
      <c r="C49" s="22"/>
      <c r="D49" s="19"/>
      <c r="E49" s="19"/>
      <c r="F49" s="19"/>
    </row>
    <row r="50" customFormat="false" ht="15" hidden="false" customHeight="true" outlineLevel="0" collapsed="false">
      <c r="B50" s="19"/>
      <c r="C50" s="19"/>
      <c r="D50" s="19"/>
    </row>
    <row r="51" customFormat="false" ht="15" hidden="false" customHeight="true" outlineLevel="0" collapsed="false">
      <c r="B51" s="4" t="s">
        <v>1079</v>
      </c>
      <c r="C51" s="5"/>
      <c r="D51" s="5"/>
      <c r="E51" s="5"/>
      <c r="F51" s="5"/>
    </row>
    <row r="52" customFormat="false" ht="15" hidden="false" customHeight="true" outlineLevel="0" collapsed="false">
      <c r="B52" s="117" t="s">
        <v>1080</v>
      </c>
      <c r="C52" s="9" t="s">
        <v>1081</v>
      </c>
      <c r="D52" s="9" t="s">
        <v>1082</v>
      </c>
      <c r="E52" s="9" t="s">
        <v>1083</v>
      </c>
      <c r="F52" s="9" t="s">
        <v>1084</v>
      </c>
    </row>
    <row r="53" customFormat="false" ht="15" hidden="false" customHeight="true" outlineLevel="0" collapsed="false">
      <c r="B53" s="28" t="s">
        <v>1076</v>
      </c>
      <c r="C53" s="128" t="n">
        <f aca="false">$C$8-('Юнит-экономика'!$C$39*Технический!$C$81*Технический!C6+Технический!$C$103)+SUM($C$19:$C$26)+$C$30+$C$31</f>
        <v>1135371</v>
      </c>
      <c r="D53" s="128" t="n">
        <f aca="false">$C$8-('Юнит-экономика'!$C$39*Технический!$C$81*Технический!D6+Технический!$C$103)+SUM($C$19:$C$26)+$C$30+$C$31</f>
        <v>811032</v>
      </c>
      <c r="E53" s="128" t="n">
        <f aca="false">$C$8-('Юнит-экономика'!$C$39*Технический!$C$81*Технический!E6+Технический!$C$103)+SUM($C$19:$C$26)+$C$30+$C$31</f>
        <v>486693</v>
      </c>
      <c r="F53" s="204" t="n">
        <f aca="false">SUMPRODUCT(Технический!C7:E7,C53:E53)</f>
        <v>924550.65</v>
      </c>
    </row>
    <row r="54" customFormat="false" ht="15" hidden="false" customHeight="true" outlineLevel="0" collapsed="false">
      <c r="B54" s="117" t="s">
        <v>65</v>
      </c>
      <c r="C54" s="205" t="n">
        <f aca="false">C53/$C$8</f>
        <v>0.482725765306122</v>
      </c>
      <c r="D54" s="205" t="n">
        <f aca="false">D53/$C$8</f>
        <v>0.344826530612245</v>
      </c>
      <c r="E54" s="205" t="n">
        <f aca="false">E53/$C$8</f>
        <v>0.206927295918367</v>
      </c>
      <c r="F54" s="206" t="n">
        <f aca="false">F53/$C$8</f>
        <v>0.393091262755102</v>
      </c>
    </row>
    <row r="55" customFormat="false" ht="15" hidden="false" customHeight="true" outlineLevel="0" collapsed="false">
      <c r="B55" s="28" t="s">
        <v>1085</v>
      </c>
      <c r="C55" s="207" t="n">
        <f aca="false">Технический!C8</f>
        <v>0.28</v>
      </c>
      <c r="D55" s="207" t="n">
        <f aca="false">Технический!D8</f>
        <v>0.2</v>
      </c>
      <c r="E55" s="207" t="n">
        <f aca="false">Технический!E8</f>
        <v>0.12</v>
      </c>
      <c r="F55" s="207" t="n">
        <f aca="false">Технический!C10</f>
        <v>0.228</v>
      </c>
    </row>
    <row r="56" customFormat="false" ht="15" hidden="false" customHeight="true" outlineLevel="0" collapsed="false">
      <c r="B56" s="181" t="s">
        <v>1086</v>
      </c>
      <c r="C56" s="181"/>
      <c r="D56" s="181"/>
      <c r="E56" s="181"/>
      <c r="F56" s="181"/>
    </row>
  </sheetData>
  <mergeCells count="1">
    <mergeCell ref="B56:F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8.6328125" defaultRowHeight="14.25" customHeight="false"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23.09"/>
    <col collapsed="false" customWidth="true" hidden="false" outlineLevel="0" max="4" min="4" style="1" width="40"/>
    <col collapsed="false" customWidth="true" hidden="false" outlineLevel="0" max="6" min="5" style="1" width="11"/>
    <col collapsed="false" customWidth="true" hidden="false" outlineLevel="0" max="7" min="7" style="1" width="16"/>
    <col collapsed="false" customWidth="true" hidden="false" outlineLevel="0" max="8" min="8" style="1" width="10"/>
    <col collapsed="false" customWidth="true" hidden="false" outlineLevel="0" max="9" min="9" style="1" width="9"/>
  </cols>
  <sheetData>
    <row r="2" customFormat="false" ht="17.25" hidden="false" customHeight="true" outlineLevel="0" collapsed="false">
      <c r="B2" s="31" t="s">
        <v>1087</v>
      </c>
    </row>
    <row r="3" customFormat="false" ht="15" hidden="false" customHeight="true" outlineLevel="0" collapsed="false">
      <c r="B3" s="8" t="s">
        <v>1088</v>
      </c>
    </row>
    <row r="4" customFormat="false" ht="15" hidden="false" customHeight="true" outlineLevel="0" collapsed="false">
      <c r="B4" s="4" t="s">
        <v>1089</v>
      </c>
      <c r="C4" s="5"/>
      <c r="D4" s="5"/>
      <c r="E4" s="5"/>
      <c r="F4" s="5"/>
      <c r="G4" s="5"/>
      <c r="H4" s="5"/>
    </row>
    <row r="5" customFormat="false" ht="15" hidden="false" customHeight="true" outlineLevel="0" collapsed="false">
      <c r="B5" s="117" t="s">
        <v>1090</v>
      </c>
      <c r="C5" s="9" t="s">
        <v>1081</v>
      </c>
      <c r="D5" s="9" t="s">
        <v>1082</v>
      </c>
      <c r="E5" s="9" t="s">
        <v>1083</v>
      </c>
    </row>
    <row r="6" customFormat="false" ht="15" hidden="false" customHeight="true" outlineLevel="0" collapsed="false">
      <c r="B6" s="28" t="s">
        <v>1091</v>
      </c>
      <c r="C6" s="207" t="n">
        <v>0.5</v>
      </c>
      <c r="D6" s="207" t="n">
        <v>0.75</v>
      </c>
      <c r="E6" s="207" t="n">
        <v>1</v>
      </c>
    </row>
    <row r="7" customFormat="false" ht="15" hidden="false" customHeight="true" outlineLevel="0" collapsed="false">
      <c r="B7" s="28" t="s">
        <v>1092</v>
      </c>
      <c r="C7" s="208" t="n">
        <v>0.5</v>
      </c>
      <c r="D7" s="208" t="n">
        <v>0.35</v>
      </c>
      <c r="E7" s="208" t="n">
        <v>0.15</v>
      </c>
      <c r="F7" s="209" t="n">
        <f aca="false">SUM(C7:E7)</f>
        <v>1</v>
      </c>
    </row>
    <row r="8" customFormat="false" ht="15" hidden="false" customHeight="true" outlineLevel="0" collapsed="false">
      <c r="B8" s="28" t="s">
        <v>1093</v>
      </c>
      <c r="C8" s="208" t="n">
        <v>0.28</v>
      </c>
      <c r="D8" s="208" t="n">
        <v>0.2</v>
      </c>
      <c r="E8" s="208" t="n">
        <v>0.12</v>
      </c>
    </row>
    <row r="9" customFormat="false" ht="15" hidden="false" customHeight="true" outlineLevel="0" collapsed="false">
      <c r="B9" s="19" t="s">
        <v>1094</v>
      </c>
      <c r="C9" s="22" t="n">
        <f aca="false">SUMPRODUCT(C6:E6,C7:E7)</f>
        <v>0.6625</v>
      </c>
    </row>
    <row r="10" customFormat="false" ht="15" hidden="false" customHeight="true" outlineLevel="0" collapsed="false">
      <c r="B10" s="19" t="s">
        <v>1095</v>
      </c>
      <c r="C10" s="22" t="n">
        <f aca="false">SUMPRODUCT(C7:E7,C8:E8)</f>
        <v>0.228</v>
      </c>
    </row>
    <row r="11" customFormat="false" ht="15" hidden="false" customHeight="true" outlineLevel="0" collapsed="false">
      <c r="B11" s="19" t="s">
        <v>1096</v>
      </c>
      <c r="C11" s="210" t="n">
        <f aca="false">1-C61-C65-0.01</f>
        <v>0.89575</v>
      </c>
    </row>
    <row r="12" customFormat="false" ht="15" hidden="false" customHeight="true" outlineLevel="0" collapsed="false">
      <c r="B12" s="19" t="s">
        <v>1097</v>
      </c>
      <c r="C12" s="23" t="n">
        <f aca="false">C74+C75+C76+C77+C78*C81+C69+C81*C92*C93+C103</f>
        <v>351057.5</v>
      </c>
      <c r="D12" s="1" t="s">
        <v>1098</v>
      </c>
      <c r="G12" s="30" t="s">
        <v>1099</v>
      </c>
      <c r="H12" s="30" t="n">
        <f aca="false">-C9*C14</f>
        <v>-71550</v>
      </c>
    </row>
    <row r="13" customFormat="false" ht="15" hidden="false" customHeight="true" outlineLevel="0" collapsed="false">
      <c r="B13" s="19" t="s">
        <v>1100</v>
      </c>
      <c r="C13" s="23" t="n">
        <f aca="false">C81*(1-C88*C89)*(C82*Тарифы!C10+C83*Тарифы!D10+C84*Тарифы!E10+C85*Тарифы!F10+C95*Тарифы!G10)</f>
        <v>1297356</v>
      </c>
      <c r="H13" s="30" t="n">
        <f aca="false">(C11-C10)*C14-C9*C13-C12</f>
        <v>-1138438.85</v>
      </c>
    </row>
    <row r="14" customFormat="false" ht="15" hidden="false" customHeight="true" outlineLevel="0" collapsed="false">
      <c r="B14" s="19" t="s">
        <v>1101</v>
      </c>
      <c r="C14" s="23" t="n">
        <f aca="false">C102</f>
        <v>108000</v>
      </c>
      <c r="H14" s="30" t="n">
        <f aca="false">(C11-C10)*C13</f>
        <v>866309.469</v>
      </c>
    </row>
    <row r="15" customFormat="false" ht="15" hidden="false" customHeight="true" outlineLevel="0" collapsed="false">
      <c r="B15" s="19" t="s">
        <v>1102</v>
      </c>
      <c r="C15" s="196" t="n">
        <f aca="false">C11-(-H13-SQRT(H13^2-4*H12*H14))/(2*H12)</f>
        <v>0.168067375857167</v>
      </c>
      <c r="D15" s="30" t="s">
        <v>1103</v>
      </c>
    </row>
    <row r="16" customFormat="false" ht="15" hidden="false" customHeight="true" outlineLevel="0" collapsed="false">
      <c r="B16" s="4" t="s">
        <v>1104</v>
      </c>
      <c r="C16" s="5"/>
      <c r="D16" s="5"/>
      <c r="E16" s="5"/>
      <c r="F16" s="5"/>
      <c r="G16" s="5"/>
    </row>
    <row r="17" customFormat="false" ht="15" hidden="false" customHeight="true" outlineLevel="0" collapsed="false">
      <c r="B17" s="19" t="s">
        <v>1105</v>
      </c>
      <c r="C17" s="211" t="n">
        <v>85</v>
      </c>
      <c r="D17" s="30" t="s">
        <v>1106</v>
      </c>
    </row>
    <row r="18" customFormat="false" ht="15" hidden="false" customHeight="true" outlineLevel="0" collapsed="false">
      <c r="B18" s="19" t="s">
        <v>1107</v>
      </c>
      <c r="C18" s="212" t="n">
        <v>0.055</v>
      </c>
    </row>
    <row r="19" customFormat="false" ht="15" hidden="false" customHeight="true" outlineLevel="0" collapsed="false">
      <c r="B19" s="19" t="s">
        <v>1108</v>
      </c>
      <c r="C19" s="212" t="n">
        <v>0</v>
      </c>
      <c r="D19" s="30" t="s">
        <v>1109</v>
      </c>
    </row>
    <row r="20" customFormat="false" ht="15" hidden="false" customHeight="true" outlineLevel="0" collapsed="false">
      <c r="B20" s="19" t="s">
        <v>1110</v>
      </c>
      <c r="C20" s="213" t="n">
        <v>1</v>
      </c>
    </row>
    <row r="21" customFormat="false" ht="15" hidden="false" customHeight="true" outlineLevel="0" collapsed="false">
      <c r="B21" s="19" t="s">
        <v>1111</v>
      </c>
      <c r="C21" s="214" t="n">
        <v>0.00366</v>
      </c>
      <c r="D21" s="30" t="s">
        <v>1112</v>
      </c>
    </row>
    <row r="22" customFormat="false" ht="15" hidden="false" customHeight="true" outlineLevel="0" collapsed="false">
      <c r="B22" s="19" t="s">
        <v>1113</v>
      </c>
      <c r="C22" s="214" t="n">
        <v>0.0822</v>
      </c>
      <c r="D22" s="30" t="s">
        <v>1114</v>
      </c>
    </row>
    <row r="23" customFormat="false" ht="15" hidden="false" customHeight="true" outlineLevel="0" collapsed="false">
      <c r="B23" s="19" t="s">
        <v>1115</v>
      </c>
      <c r="C23" s="210" t="n">
        <f aca="false">IF(C20=1,C21,C22)</f>
        <v>0.00366</v>
      </c>
    </row>
    <row r="24" customFormat="false" ht="15" hidden="false" customHeight="true" outlineLevel="0" collapsed="false">
      <c r="B24" s="19" t="s">
        <v>1116</v>
      </c>
      <c r="C24" s="212" t="n">
        <v>0.22</v>
      </c>
    </row>
    <row r="25" customFormat="false" ht="15" hidden="false" customHeight="true" outlineLevel="0" collapsed="false">
      <c r="B25" s="19" t="s">
        <v>1117</v>
      </c>
      <c r="C25" s="210" t="n">
        <f aca="false">C24/(1+C24)</f>
        <v>0.180327868852459</v>
      </c>
      <c r="D25" s="30" t="s">
        <v>1118</v>
      </c>
    </row>
    <row r="26" customFormat="false" ht="15" hidden="false" customHeight="true" outlineLevel="0" collapsed="false">
      <c r="B26" s="19" t="s">
        <v>1119</v>
      </c>
      <c r="C26" s="20" t="n">
        <f aca="false">C17*(1+C18)*(1+C23+C25)</f>
        <v>106.174112139344</v>
      </c>
    </row>
    <row r="27" customFormat="false" ht="15" hidden="false" customHeight="true" outlineLevel="0" collapsed="false">
      <c r="B27" s="19" t="s">
        <v>1120</v>
      </c>
      <c r="C27" s="20" t="n">
        <f aca="false">C17*(1+C19)*(1+C23+C25)</f>
        <v>100.638968852459</v>
      </c>
    </row>
    <row r="29" customFormat="false" ht="15" hidden="false" customHeight="true" outlineLevel="0" collapsed="false">
      <c r="B29" s="4" t="s">
        <v>1121</v>
      </c>
      <c r="C29" s="5"/>
      <c r="D29" s="5"/>
      <c r="E29" s="5"/>
      <c r="F29" s="5"/>
      <c r="G29" s="5"/>
    </row>
    <row r="30" customFormat="false" ht="15" hidden="false" customHeight="true" outlineLevel="0" collapsed="false">
      <c r="B30" s="8" t="s">
        <v>1122</v>
      </c>
      <c r="C30" s="215"/>
    </row>
    <row r="31" customFormat="false" ht="15" hidden="false" customHeight="true" outlineLevel="0" collapsed="false">
      <c r="B31" s="19"/>
      <c r="C31" s="215"/>
    </row>
    <row r="32" customFormat="false" ht="15" hidden="false" customHeight="true" outlineLevel="0" collapsed="false">
      <c r="B32" s="19"/>
      <c r="C32" s="215"/>
    </row>
    <row r="33" customFormat="false" ht="15" hidden="false" customHeight="true" outlineLevel="0" collapsed="false">
      <c r="B33" s="19"/>
      <c r="C33" s="215"/>
    </row>
    <row r="34" customFormat="false" ht="15" hidden="false" customHeight="true" outlineLevel="0" collapsed="false">
      <c r="B34" s="19"/>
      <c r="C34" s="215"/>
      <c r="D34" s="30"/>
    </row>
    <row r="35" customFormat="false" ht="15" hidden="false" customHeight="true" outlineLevel="0" collapsed="false">
      <c r="B35" s="19"/>
      <c r="C35" s="215"/>
    </row>
    <row r="36" customFormat="false" ht="15" hidden="false" customHeight="true" outlineLevel="0" collapsed="false">
      <c r="B36" s="19"/>
      <c r="C36" s="215"/>
      <c r="D36" s="30"/>
    </row>
    <row r="37" customFormat="false" ht="15" hidden="false" customHeight="true" outlineLevel="0" collapsed="false">
      <c r="B37" s="19"/>
      <c r="C37" s="215"/>
    </row>
    <row r="38" customFormat="false" ht="15" hidden="false" customHeight="true" outlineLevel="0" collapsed="false">
      <c r="B38" s="19" t="s">
        <v>1123</v>
      </c>
      <c r="C38" s="212" t="n">
        <v>0.1</v>
      </c>
    </row>
    <row r="39" customFormat="false" ht="15" hidden="false" customHeight="true" outlineLevel="0" collapsed="false">
      <c r="B39" s="19"/>
      <c r="C39" s="216"/>
    </row>
    <row r="40" customFormat="false" ht="15" hidden="false" customHeight="true" outlineLevel="0" collapsed="false">
      <c r="B40" s="19"/>
      <c r="C40" s="216"/>
    </row>
    <row r="42" customFormat="false" ht="15" hidden="false" customHeight="true" outlineLevel="0" collapsed="false">
      <c r="B42" s="4" t="s">
        <v>1124</v>
      </c>
      <c r="C42" s="5"/>
      <c r="D42" s="5"/>
      <c r="E42" s="5"/>
      <c r="F42" s="5"/>
      <c r="G42" s="5"/>
    </row>
    <row r="43" customFormat="false" ht="15" hidden="false" customHeight="true" outlineLevel="0" collapsed="false">
      <c r="B43" s="19" t="s">
        <v>1125</v>
      </c>
      <c r="C43" s="217" t="n">
        <v>0.219</v>
      </c>
      <c r="D43" s="30" t="s">
        <v>1126</v>
      </c>
      <c r="E43" s="1" t="s">
        <v>1127</v>
      </c>
    </row>
    <row r="44" customFormat="false" ht="15" hidden="false" customHeight="true" outlineLevel="0" collapsed="false">
      <c r="B44" s="19" t="s">
        <v>1128</v>
      </c>
      <c r="C44" s="218" t="n">
        <v>0.217</v>
      </c>
    </row>
    <row r="45" customFormat="false" ht="15" hidden="false" customHeight="true" outlineLevel="0" collapsed="false">
      <c r="B45" s="19" t="s">
        <v>1129</v>
      </c>
      <c r="C45" s="218" t="n">
        <v>0.224</v>
      </c>
    </row>
    <row r="46" customFormat="false" ht="15" hidden="false" customHeight="true" outlineLevel="0" collapsed="false">
      <c r="B46" s="19" t="s">
        <v>1130</v>
      </c>
      <c r="C46" s="20" t="n">
        <v>0.2442</v>
      </c>
    </row>
    <row r="47" customFormat="false" ht="15" hidden="false" customHeight="true" outlineLevel="0" collapsed="false">
      <c r="B47" s="19" t="s">
        <v>1131</v>
      </c>
      <c r="C47" s="20" t="n">
        <v>0.297040676894477</v>
      </c>
      <c r="D47" s="30" t="s">
        <v>1132</v>
      </c>
    </row>
    <row r="48" customFormat="false" ht="15" hidden="false" customHeight="true" outlineLevel="0" collapsed="false">
      <c r="B48" s="19"/>
      <c r="C48" s="20"/>
    </row>
    <row r="50" customFormat="false" ht="15" hidden="false" customHeight="true" outlineLevel="0" collapsed="false">
      <c r="B50" s="4" t="s">
        <v>1133</v>
      </c>
      <c r="C50" s="5"/>
      <c r="D50" s="5"/>
      <c r="E50" s="5"/>
      <c r="F50" s="5"/>
      <c r="G50" s="5"/>
    </row>
    <row r="51" customFormat="false" ht="15" hidden="false" customHeight="true" outlineLevel="0" collapsed="false">
      <c r="B51" s="19" t="s">
        <v>1134</v>
      </c>
      <c r="C51" s="212" t="n">
        <v>0.007</v>
      </c>
    </row>
    <row r="52" customFormat="false" ht="15" hidden="false" customHeight="true" outlineLevel="0" collapsed="false">
      <c r="B52" s="19" t="s">
        <v>1135</v>
      </c>
      <c r="C52" s="212" t="n">
        <v>0.032</v>
      </c>
    </row>
    <row r="53" customFormat="false" ht="15" hidden="false" customHeight="true" outlineLevel="0" collapsed="false">
      <c r="B53" s="19" t="s">
        <v>1136</v>
      </c>
      <c r="C53" s="212" t="n">
        <v>0.55</v>
      </c>
    </row>
    <row r="54" customFormat="false" ht="15" hidden="false" customHeight="true" outlineLevel="0" collapsed="false">
      <c r="B54" s="19" t="s">
        <v>1137</v>
      </c>
      <c r="C54" s="210" t="n">
        <f aca="false">C53*C51+(1-C53)*C52</f>
        <v>0.01825</v>
      </c>
    </row>
    <row r="55" customFormat="false" ht="15" hidden="false" customHeight="true" outlineLevel="0" collapsed="false">
      <c r="B55" s="19" t="s">
        <v>1138</v>
      </c>
      <c r="C55" s="213" t="n">
        <v>1</v>
      </c>
      <c r="D55" s="30" t="s">
        <v>1139</v>
      </c>
    </row>
    <row r="56" customFormat="false" ht="15" hidden="false" customHeight="true" outlineLevel="0" collapsed="false">
      <c r="B56" s="19" t="s">
        <v>1140</v>
      </c>
      <c r="C56" s="212" t="n">
        <v>0.015</v>
      </c>
    </row>
    <row r="57" customFormat="false" ht="15" hidden="false" customHeight="true" outlineLevel="0" collapsed="false">
      <c r="B57" s="19" t="s">
        <v>1141</v>
      </c>
      <c r="C57" s="219" t="n">
        <v>1200</v>
      </c>
    </row>
    <row r="58" customFormat="false" ht="15" hidden="false" customHeight="true" outlineLevel="0" collapsed="false">
      <c r="B58" s="19" t="s">
        <v>1142</v>
      </c>
      <c r="C58" s="22" t="n">
        <f aca="false">IF(C55=1,C56,0)</f>
        <v>0.015</v>
      </c>
    </row>
    <row r="59" customFormat="false" ht="15" hidden="false" customHeight="true" outlineLevel="0" collapsed="false">
      <c r="B59" s="19" t="s">
        <v>1143</v>
      </c>
      <c r="C59" s="23" t="n">
        <f aca="false">IF(C55=2,C57,0)</f>
        <v>0</v>
      </c>
    </row>
    <row r="60" customFormat="false" ht="15" hidden="false" customHeight="true" outlineLevel="0" collapsed="false">
      <c r="B60" s="19" t="s">
        <v>1144</v>
      </c>
      <c r="C60" s="214" t="n">
        <v>0.001</v>
      </c>
    </row>
    <row r="61" customFormat="false" ht="15" hidden="false" customHeight="true" outlineLevel="0" collapsed="false">
      <c r="B61" s="19" t="s">
        <v>1145</v>
      </c>
      <c r="C61" s="210" t="n">
        <f aca="false">C54+C58+C60</f>
        <v>0.03425</v>
      </c>
    </row>
    <row r="63" customFormat="false" ht="15" hidden="false" customHeight="true" outlineLevel="0" collapsed="false">
      <c r="B63" s="4" t="s">
        <v>1146</v>
      </c>
      <c r="C63" s="5"/>
      <c r="D63" s="5"/>
      <c r="E63" s="5"/>
      <c r="F63" s="5"/>
      <c r="G63" s="5"/>
    </row>
    <row r="64" customFormat="false" ht="15" hidden="false" customHeight="true" outlineLevel="0" collapsed="false">
      <c r="B64" s="19" t="s">
        <v>1147</v>
      </c>
      <c r="C64" s="213" t="n">
        <v>1</v>
      </c>
    </row>
    <row r="65" customFormat="false" ht="15" hidden="false" customHeight="true" outlineLevel="0" collapsed="false">
      <c r="B65" s="19" t="s">
        <v>1148</v>
      </c>
      <c r="C65" s="212" t="n">
        <v>0.06</v>
      </c>
    </row>
    <row r="66" customFormat="false" ht="15" hidden="false" customHeight="true" outlineLevel="0" collapsed="false">
      <c r="B66" s="19" t="s">
        <v>1149</v>
      </c>
      <c r="C66" s="212" t="n">
        <v>0.15</v>
      </c>
    </row>
    <row r="67" customFormat="false" ht="15" hidden="false" customHeight="true" outlineLevel="0" collapsed="false">
      <c r="B67" s="19" t="s">
        <v>1150</v>
      </c>
      <c r="C67" s="212" t="n">
        <v>0.01</v>
      </c>
    </row>
    <row r="68" customFormat="false" ht="15" hidden="false" customHeight="true" outlineLevel="0" collapsed="false">
      <c r="B68" s="19" t="s">
        <v>1151</v>
      </c>
      <c r="C68" s="219" t="n">
        <v>57390</v>
      </c>
    </row>
    <row r="69" customFormat="false" ht="15" hidden="false" customHeight="true" outlineLevel="0" collapsed="false">
      <c r="B69" s="19" t="s">
        <v>1152</v>
      </c>
      <c r="C69" s="23" t="n">
        <f aca="false">C68/12</f>
        <v>4782.5</v>
      </c>
    </row>
    <row r="70" customFormat="false" ht="15" hidden="false" customHeight="true" outlineLevel="0" collapsed="false">
      <c r="B70" s="19" t="s">
        <v>1153</v>
      </c>
      <c r="C70" s="219" t="n">
        <v>300000</v>
      </c>
    </row>
    <row r="72" customFormat="false" ht="15" hidden="false" customHeight="true" outlineLevel="0" collapsed="false">
      <c r="B72" s="4" t="s">
        <v>1154</v>
      </c>
      <c r="C72" s="5"/>
      <c r="D72" s="5"/>
      <c r="E72" s="5"/>
      <c r="F72" s="5"/>
      <c r="G72" s="5"/>
    </row>
    <row r="73" customFormat="false" ht="15" hidden="false" customHeight="true" outlineLevel="0" collapsed="false">
      <c r="B73" s="19" t="s">
        <v>1155</v>
      </c>
      <c r="C73" s="213" t="n">
        <v>3</v>
      </c>
    </row>
    <row r="74" customFormat="false" ht="15" hidden="false" customHeight="true" outlineLevel="0" collapsed="false">
      <c r="B74" s="19" t="s">
        <v>1156</v>
      </c>
      <c r="C74" s="23" t="n">
        <f aca="false">CHOOSE(C73,0,18000,52000)</f>
        <v>52000</v>
      </c>
    </row>
    <row r="75" customFormat="false" ht="15" hidden="false" customHeight="true" outlineLevel="0" collapsed="false">
      <c r="B75" s="19" t="s">
        <v>1157</v>
      </c>
      <c r="C75" s="219" t="n">
        <v>1700</v>
      </c>
    </row>
    <row r="76" customFormat="false" ht="15" hidden="false" customHeight="true" outlineLevel="0" collapsed="false">
      <c r="B76" s="19" t="s">
        <v>1158</v>
      </c>
      <c r="C76" s="219" t="n">
        <v>50</v>
      </c>
    </row>
    <row r="77" customFormat="false" ht="15" hidden="false" customHeight="true" outlineLevel="0" collapsed="false">
      <c r="B77" s="19" t="s">
        <v>1159</v>
      </c>
      <c r="C77" s="219" t="n">
        <v>250</v>
      </c>
    </row>
    <row r="78" customFormat="false" ht="15" hidden="false" customHeight="true" outlineLevel="0" collapsed="false">
      <c r="B78" s="19" t="s">
        <v>1160</v>
      </c>
      <c r="C78" s="219" t="n">
        <v>3</v>
      </c>
    </row>
    <row r="80" customFormat="false" ht="15" hidden="false" customHeight="true" outlineLevel="0" collapsed="false">
      <c r="B80" s="4" t="s">
        <v>1161</v>
      </c>
      <c r="C80" s="5"/>
      <c r="D80" s="5"/>
      <c r="E80" s="5"/>
      <c r="F80" s="5"/>
      <c r="G80" s="5"/>
    </row>
    <row r="81" customFormat="false" ht="15" hidden="false" customHeight="true" outlineLevel="0" collapsed="false">
      <c r="B81" s="19" t="s">
        <v>1162</v>
      </c>
      <c r="C81" s="213" t="n">
        <v>1000</v>
      </c>
    </row>
    <row r="82" customFormat="false" ht="15" hidden="false" customHeight="true" outlineLevel="0" collapsed="false">
      <c r="B82" s="19" t="s">
        <v>1163</v>
      </c>
      <c r="C82" s="212" t="n">
        <v>0.4</v>
      </c>
    </row>
    <row r="83" customFormat="false" ht="15" hidden="false" customHeight="true" outlineLevel="0" collapsed="false">
      <c r="B83" s="19" t="s">
        <v>1164</v>
      </c>
      <c r="C83" s="212" t="n">
        <v>0.34</v>
      </c>
    </row>
    <row r="84" customFormat="false" ht="15" hidden="false" customHeight="true" outlineLevel="0" collapsed="false">
      <c r="B84" s="19" t="s">
        <v>1165</v>
      </c>
      <c r="C84" s="212" t="n">
        <v>0.15</v>
      </c>
    </row>
    <row r="85" customFormat="false" ht="15" hidden="false" customHeight="true" outlineLevel="0" collapsed="false">
      <c r="B85" s="19" t="s">
        <v>1166</v>
      </c>
      <c r="C85" s="212" t="n">
        <v>0.07</v>
      </c>
    </row>
    <row r="86" customFormat="false" ht="15" hidden="false" customHeight="true" outlineLevel="0" collapsed="false">
      <c r="B86" s="19" t="s">
        <v>1167</v>
      </c>
      <c r="C86" s="22" t="n">
        <f aca="false">SUM(C82:C85)+C95</f>
        <v>1</v>
      </c>
    </row>
    <row r="87" customFormat="false" ht="15" hidden="false" customHeight="true" outlineLevel="0" collapsed="false">
      <c r="B87" s="19" t="s">
        <v>1168</v>
      </c>
      <c r="C87" s="22" t="n">
        <f aca="false">C9</f>
        <v>0.6625</v>
      </c>
      <c r="D87" s="30" t="s">
        <v>1169</v>
      </c>
    </row>
    <row r="88" customFormat="false" ht="15" hidden="false" customHeight="true" outlineLevel="0" collapsed="false">
      <c r="B88" s="19" t="s">
        <v>1170</v>
      </c>
      <c r="C88" s="212" t="n">
        <v>0</v>
      </c>
      <c r="D88" s="1" t="s">
        <v>1171</v>
      </c>
    </row>
    <row r="89" customFormat="false" ht="15" hidden="false" customHeight="true" outlineLevel="0" collapsed="false">
      <c r="B89" s="19" t="s">
        <v>1172</v>
      </c>
      <c r="C89" s="212" t="n">
        <v>0</v>
      </c>
    </row>
    <row r="90" customFormat="false" ht="15" hidden="false" customHeight="true" outlineLevel="0" collapsed="false">
      <c r="B90" s="19" t="s">
        <v>1173</v>
      </c>
      <c r="C90" s="212" t="n">
        <v>0.06</v>
      </c>
    </row>
    <row r="91" customFormat="false" ht="15" hidden="false" customHeight="true" outlineLevel="0" collapsed="false">
      <c r="B91" s="19" t="s">
        <v>1174</v>
      </c>
      <c r="C91" s="212" t="n">
        <v>0.02</v>
      </c>
    </row>
    <row r="92" customFormat="false" ht="15" hidden="false" customHeight="true" outlineLevel="0" collapsed="false">
      <c r="B92" s="19" t="s">
        <v>1175</v>
      </c>
      <c r="C92" s="22" t="n">
        <f aca="false">C88*C91+(1-C88)*C90</f>
        <v>0.06</v>
      </c>
    </row>
    <row r="93" customFormat="false" ht="15" hidden="false" customHeight="true" outlineLevel="0" collapsed="false">
      <c r="B93" s="19" t="s">
        <v>1176</v>
      </c>
      <c r="C93" s="219" t="n">
        <v>4000</v>
      </c>
    </row>
    <row r="94" customFormat="false" ht="15" hidden="false" customHeight="true" outlineLevel="0" collapsed="false">
      <c r="B94" s="19" t="s">
        <v>1177</v>
      </c>
      <c r="C94" s="212" t="n">
        <v>0.8</v>
      </c>
    </row>
    <row r="95" customFormat="false" ht="15" hidden="false" customHeight="true" outlineLevel="0" collapsed="false">
      <c r="B95" s="19" t="s">
        <v>1178</v>
      </c>
      <c r="C95" s="212" t="n">
        <v>0.04</v>
      </c>
    </row>
    <row r="96" customFormat="false" ht="15" hidden="false" customHeight="true" outlineLevel="0" collapsed="false">
      <c r="B96" s="4" t="s">
        <v>1179</v>
      </c>
      <c r="C96" s="5"/>
      <c r="D96" s="5"/>
      <c r="E96" s="5"/>
      <c r="F96" s="5"/>
      <c r="G96" s="5"/>
    </row>
    <row r="97" customFormat="false" ht="15" hidden="false" customHeight="true" outlineLevel="0" collapsed="false">
      <c r="B97" s="19" t="s">
        <v>1180</v>
      </c>
      <c r="C97" s="213"/>
    </row>
    <row r="98" customFormat="false" ht="15" hidden="false" customHeight="true" outlineLevel="0" collapsed="false">
      <c r="B98" s="19" t="s">
        <v>1181</v>
      </c>
      <c r="C98" s="218" t="n">
        <f aca="false">C43</f>
        <v>0.219</v>
      </c>
    </row>
    <row r="99" customFormat="false" ht="15" hidden="false" customHeight="true" outlineLevel="0" collapsed="false">
      <c r="B99" s="19" t="s">
        <v>1182</v>
      </c>
      <c r="C99" s="212" t="n">
        <v>0.15</v>
      </c>
    </row>
    <row r="100" customFormat="false" ht="15" hidden="false" customHeight="true" outlineLevel="0" collapsed="false">
      <c r="A100" s="1" t="s">
        <v>1183</v>
      </c>
      <c r="B100" s="19" t="s">
        <v>1184</v>
      </c>
      <c r="C100" s="213" t="n">
        <v>1500</v>
      </c>
    </row>
    <row r="101" customFormat="false" ht="15" hidden="false" customHeight="true" outlineLevel="0" collapsed="false">
      <c r="A101" s="1" t="s">
        <v>1185</v>
      </c>
      <c r="B101" s="19" t="s">
        <v>1186</v>
      </c>
      <c r="C101" s="220" t="n">
        <v>0.48</v>
      </c>
    </row>
    <row r="102" customFormat="false" ht="15" hidden="false" customHeight="true" outlineLevel="0" collapsed="false">
      <c r="B102" s="19" t="s">
        <v>1187</v>
      </c>
      <c r="C102" s="23" t="n">
        <f aca="false">C81*C99*C100*C101</f>
        <v>108000</v>
      </c>
    </row>
    <row r="103" customFormat="false" ht="15" hidden="false" customHeight="true" outlineLevel="0" collapsed="false">
      <c r="B103" s="19" t="s">
        <v>1188</v>
      </c>
      <c r="C103" s="23" t="n">
        <f aca="false">C81*C99*C100*C98</f>
        <v>49275</v>
      </c>
    </row>
    <row r="105" customFormat="false" ht="15" hidden="false" customHeight="true" outlineLevel="0" collapsed="false">
      <c r="B105" s="4" t="s">
        <v>1189</v>
      </c>
      <c r="C105" s="5"/>
      <c r="D105" s="5"/>
      <c r="E105" s="5"/>
      <c r="F105" s="5"/>
      <c r="G105" s="5"/>
    </row>
    <row r="106" customFormat="false" ht="15" hidden="false" customHeight="true" outlineLevel="0" collapsed="false">
      <c r="B106" s="117" t="s">
        <v>1190</v>
      </c>
      <c r="C106" s="221" t="s">
        <v>82</v>
      </c>
      <c r="D106" s="221" t="s">
        <v>52</v>
      </c>
      <c r="E106" s="221" t="s">
        <v>83</v>
      </c>
      <c r="F106" s="221" t="s">
        <v>54</v>
      </c>
      <c r="G106" s="221" t="s">
        <v>1191</v>
      </c>
      <c r="H106" s="30" t="s">
        <v>1192</v>
      </c>
    </row>
    <row r="107" customFormat="false" ht="15" hidden="false" customHeight="true" outlineLevel="0" collapsed="false">
      <c r="B107" s="28" t="s">
        <v>1193</v>
      </c>
      <c r="C107" s="222" t="n">
        <v>890</v>
      </c>
      <c r="D107" s="222" t="n">
        <v>1690</v>
      </c>
      <c r="E107" s="222" t="n">
        <v>3990</v>
      </c>
      <c r="F107" s="222" t="n">
        <v>5990</v>
      </c>
      <c r="G107" s="222" t="n">
        <v>11990</v>
      </c>
      <c r="H107" s="165" t="n">
        <v>15</v>
      </c>
      <c r="I107" s="165" t="n">
        <v>625</v>
      </c>
    </row>
    <row r="108" customFormat="false" ht="15" hidden="false" customHeight="true" outlineLevel="0" collapsed="false">
      <c r="B108" s="28" t="s">
        <v>1194</v>
      </c>
      <c r="C108" s="165" t="n">
        <v>260</v>
      </c>
      <c r="D108" s="165" t="n">
        <v>685.5</v>
      </c>
      <c r="E108" s="165" t="n">
        <v>1700</v>
      </c>
      <c r="F108" s="165" t="n">
        <v>2600</v>
      </c>
      <c r="G108" s="165" t="n">
        <v>3000</v>
      </c>
      <c r="H108" s="165" t="n">
        <v>35</v>
      </c>
      <c r="I108" s="165" t="n">
        <v>2250</v>
      </c>
    </row>
    <row r="109" customFormat="false" ht="15" hidden="false" customHeight="true" outlineLevel="0" collapsed="false">
      <c r="B109" s="19" t="s">
        <v>1195</v>
      </c>
      <c r="C109" s="223" t="n">
        <v>112.3</v>
      </c>
      <c r="D109" s="30" t="s">
        <v>1196</v>
      </c>
      <c r="G109" s="30" t="s">
        <v>1197</v>
      </c>
      <c r="H109" s="165" t="n">
        <v>95</v>
      </c>
      <c r="I109" s="165" t="n">
        <v>9500</v>
      </c>
    </row>
    <row r="110" customFormat="false" ht="15" hidden="false" customHeight="true" outlineLevel="0" collapsed="false">
      <c r="B110" s="19" t="s">
        <v>1198</v>
      </c>
      <c r="C110" s="223" t="n">
        <v>7.5</v>
      </c>
      <c r="D110" s="30" t="s">
        <v>1199</v>
      </c>
      <c r="G110" s="30" t="s">
        <v>1200</v>
      </c>
      <c r="H110" s="165" t="n">
        <v>59</v>
      </c>
      <c r="I110" s="165" t="n">
        <v>1200</v>
      </c>
    </row>
    <row r="111" customFormat="false" ht="15" hidden="false" customHeight="true" outlineLevel="0" collapsed="false">
      <c r="B111" s="19" t="s">
        <v>1201</v>
      </c>
      <c r="C111" s="212" t="n">
        <v>0.05</v>
      </c>
      <c r="D111" s="30" t="s">
        <v>1202</v>
      </c>
      <c r="G111" s="30" t="s">
        <v>1203</v>
      </c>
      <c r="H111" s="165" t="n">
        <v>129</v>
      </c>
      <c r="I111" s="165" t="n">
        <v>3000</v>
      </c>
    </row>
    <row r="112" customFormat="false" ht="15" hidden="false" customHeight="true" outlineLevel="0" collapsed="false">
      <c r="B112" s="19" t="s">
        <v>1204</v>
      </c>
      <c r="C112" s="213" t="n">
        <v>200</v>
      </c>
      <c r="G112" s="30" t="s">
        <v>1205</v>
      </c>
      <c r="H112" s="165" t="n">
        <v>19</v>
      </c>
      <c r="I112" s="165" t="n">
        <v>270</v>
      </c>
    </row>
    <row r="113" customFormat="false" ht="15" hidden="false" customHeight="true" outlineLevel="0" collapsed="false">
      <c r="B113" s="30" t="s">
        <v>1206</v>
      </c>
    </row>
    <row r="114" customFormat="false" ht="15" hidden="false" customHeight="true" outlineLevel="0" collapsed="false">
      <c r="B114" s="19" t="s">
        <v>1207</v>
      </c>
      <c r="C114" s="213" t="n">
        <v>45</v>
      </c>
    </row>
    <row r="115" customFormat="false" ht="15" hidden="false" customHeight="true" outlineLevel="0" collapsed="false">
      <c r="B115" s="8" t="s">
        <v>1208</v>
      </c>
    </row>
    <row r="116" customFormat="false" ht="15" hidden="false" customHeight="true" outlineLevel="0" collapsed="false">
      <c r="B116" s="30" t="s">
        <v>1209</v>
      </c>
    </row>
    <row r="118" customFormat="false" ht="15" hidden="false" customHeight="true" outlineLevel="0" collapsed="false">
      <c r="B118" s="4" t="s">
        <v>1210</v>
      </c>
      <c r="C118" s="5"/>
      <c r="D118" s="5"/>
      <c r="E118" s="5"/>
      <c r="F118" s="5"/>
      <c r="G118" s="5"/>
    </row>
    <row r="119" customFormat="false" ht="25.5" hidden="false" customHeight="true" outlineLevel="0" collapsed="false">
      <c r="B119" s="117" t="s">
        <v>1211</v>
      </c>
      <c r="C119" s="7" t="s">
        <v>1212</v>
      </c>
      <c r="D119" s="7"/>
      <c r="E119" s="7"/>
      <c r="F119" s="7"/>
      <c r="G119" s="7"/>
      <c r="H119" s="7"/>
      <c r="I119" s="7"/>
    </row>
    <row r="120" customFormat="false" ht="25.5" hidden="false" customHeight="true" outlineLevel="0" collapsed="false">
      <c r="B120" s="117" t="s">
        <v>1213</v>
      </c>
      <c r="C120" s="7" t="s">
        <v>1214</v>
      </c>
      <c r="D120" s="7"/>
      <c r="E120" s="7"/>
      <c r="F120" s="7"/>
      <c r="G120" s="7"/>
      <c r="H120" s="7"/>
      <c r="I120" s="7"/>
    </row>
    <row r="121" customFormat="false" ht="25.5" hidden="false" customHeight="true" outlineLevel="0" collapsed="false">
      <c r="B121" s="117" t="s">
        <v>1215</v>
      </c>
      <c r="C121" s="7" t="s">
        <v>1216</v>
      </c>
      <c r="D121" s="7"/>
      <c r="E121" s="7"/>
      <c r="F121" s="7"/>
      <c r="G121" s="7"/>
      <c r="H121" s="7"/>
      <c r="I121" s="7"/>
    </row>
    <row r="122" customFormat="false" ht="25.5" hidden="false" customHeight="true" outlineLevel="0" collapsed="false">
      <c r="B122" s="117" t="s">
        <v>1217</v>
      </c>
      <c r="C122" s="7" t="s">
        <v>1218</v>
      </c>
      <c r="D122" s="7"/>
      <c r="E122" s="7"/>
      <c r="F122" s="7"/>
      <c r="G122" s="7"/>
      <c r="H122" s="7"/>
      <c r="I122" s="7"/>
    </row>
    <row r="123" customFormat="false" ht="25.5" hidden="false" customHeight="true" outlineLevel="0" collapsed="false">
      <c r="B123" s="117" t="s">
        <v>1219</v>
      </c>
      <c r="C123" s="7" t="s">
        <v>1220</v>
      </c>
      <c r="D123" s="7"/>
      <c r="E123" s="7"/>
      <c r="F123" s="7"/>
      <c r="G123" s="7"/>
      <c r="H123" s="7"/>
      <c r="I123" s="7"/>
    </row>
    <row r="124" customFormat="false" ht="25.5" hidden="false" customHeight="true" outlineLevel="0" collapsed="false">
      <c r="B124" s="117" t="s">
        <v>1221</v>
      </c>
      <c r="C124" s="7" t="s">
        <v>1222</v>
      </c>
      <c r="D124" s="7"/>
      <c r="E124" s="7"/>
      <c r="F124" s="7"/>
      <c r="G124" s="7"/>
      <c r="H124" s="7"/>
      <c r="I124" s="7"/>
    </row>
    <row r="125" customFormat="false" ht="25.5" hidden="false" customHeight="true" outlineLevel="0" collapsed="false">
      <c r="B125" s="117" t="s">
        <v>1223</v>
      </c>
      <c r="C125" s="7" t="s">
        <v>1224</v>
      </c>
      <c r="D125" s="7"/>
      <c r="E125" s="7"/>
      <c r="F125" s="7"/>
      <c r="G125" s="7"/>
      <c r="H125" s="7"/>
      <c r="I125" s="7"/>
    </row>
    <row r="126" customFormat="false" ht="25.5" hidden="false" customHeight="true" outlineLevel="0" collapsed="false">
      <c r="B126" s="117" t="s">
        <v>1225</v>
      </c>
      <c r="C126" s="7" t="s">
        <v>1226</v>
      </c>
      <c r="D126" s="7"/>
      <c r="E126" s="7"/>
      <c r="F126" s="7"/>
      <c r="G126" s="7"/>
      <c r="H126" s="7"/>
      <c r="I126" s="7"/>
    </row>
    <row r="127" customFormat="false" ht="14.25" hidden="false" customHeight="true" outlineLevel="0" collapsed="false">
      <c r="B127" s="46" t="s">
        <v>1227</v>
      </c>
      <c r="D127" s="96" t="s">
        <v>1228</v>
      </c>
      <c r="E127" s="96" t="s">
        <v>1229</v>
      </c>
    </row>
    <row r="128" customFormat="false" ht="14.25" hidden="false" customHeight="true" outlineLevel="0" collapsed="false">
      <c r="B128" s="1" t="s">
        <v>1230</v>
      </c>
      <c r="C128" s="1" t="n">
        <v>0.2112</v>
      </c>
      <c r="D128" s="224" t="n">
        <f aca="false">'Сетка FX'!K11/'Сетка FX'!O11</f>
        <v>0.247454508196721</v>
      </c>
      <c r="E128" s="224" t="n">
        <f aca="false">IF(ISNUMBER('Сетка FX'!H11),'Сетка FX'!H11*IF('Сетка FX'!B11="сек",'Сетка FX'!C11,1)*IF('Сетка FX'!G11="OpenRouter",'Сетка FX'!$F$3,'Сетка FX'!$F$4)/'Сетка FX'!O11,D128)</f>
        <v>0.247454508196721</v>
      </c>
    </row>
    <row r="129" customFormat="false" ht="14.25" hidden="false" customHeight="true" outlineLevel="0" collapsed="false">
      <c r="B129" s="1" t="s">
        <v>1231</v>
      </c>
      <c r="C129" s="1" t="n">
        <v>0.0768</v>
      </c>
      <c r="D129" s="224" t="n">
        <f aca="false">'Сетка FX'!K10/'Сетка FX'!O10</f>
        <v>0.214916520100503</v>
      </c>
      <c r="E129" s="224" t="n">
        <f aca="false">IF(ISNUMBER('Сетка FX'!H10),'Сетка FX'!H10*IF('Сетка FX'!B10="сек",'Сетка FX'!C10,1)*IF('Сетка FX'!G10="OpenRouter",'Сетка FX'!$F$3,'Сетка FX'!$F$4)/'Сетка FX'!O10,D129)</f>
        <v>0.214916520100503</v>
      </c>
    </row>
    <row r="130" customFormat="false" ht="14.25" hidden="false" customHeight="true" outlineLevel="0" collapsed="false">
      <c r="B130" s="1" t="s">
        <v>1232</v>
      </c>
      <c r="C130" s="1" t="n">
        <v>0.0576</v>
      </c>
      <c r="D130" s="224" t="n">
        <f aca="false">'Сетка FX'!K13/'Сетка FX'!O13</f>
        <v>0.228707954545455</v>
      </c>
      <c r="E130" s="224" t="n">
        <f aca="false">IF(ISNUMBER('Сетка FX'!H13),'Сетка FX'!H13*IF('Сетка FX'!B13="сек",'Сетка FX'!C13,1)*IF('Сетка FX'!G13="OpenRouter",'Сетка FX'!$F$3,'Сетка FX'!$F$4)/'Сетка FX'!O13,D130)</f>
        <v>0.228707954545455</v>
      </c>
    </row>
    <row r="131" customFormat="false" ht="14.25" hidden="false" customHeight="true" outlineLevel="0" collapsed="false">
      <c r="B131" s="1" t="s">
        <v>1233</v>
      </c>
      <c r="C131" s="1" t="n">
        <v>0.1344</v>
      </c>
      <c r="D131" s="224" t="n">
        <f aca="false">'Сетка FX'!K16/'Сетка FX'!O16</f>
        <v>0.23291535483871</v>
      </c>
      <c r="E131" s="1" t="n">
        <f aca="false">IF(ISNUMBER('Сетка FX'!H16),'Сетка FX'!H16*IF('Сетка FX'!B16="сек",'Сетка FX'!C16,1)*IF('Сетка FX'!G16="OpenRouter",'Сетка FX'!$F$3,'Сетка FX'!$F$4)/'Сетка FX'!O16,D131)</f>
        <v>0.331110096774194</v>
      </c>
    </row>
    <row r="132" customFormat="false" ht="14.25" hidden="false" customHeight="true" outlineLevel="0" collapsed="false">
      <c r="B132" s="1" t="s">
        <v>1234</v>
      </c>
      <c r="C132" s="1" t="n">
        <v>0.096</v>
      </c>
      <c r="D132" s="224" t="n">
        <f aca="false">'Сетка FX'!K19/'Сетка FX'!O19</f>
        <v>0.248031312741313</v>
      </c>
      <c r="E132" s="1" t="n">
        <f aca="false">IF(ISNUMBER('Сетка FX'!H19),'Сетка FX'!H19*IF('Сетка FX'!B19="сек",'Сетка FX'!C19,1)*IF('Сетка FX'!G19="OpenRouter",'Сетка FX'!$F$3,'Сетка FX'!$F$4)/'Сетка FX'!O19,D132)</f>
        <v>0.320544353281853</v>
      </c>
    </row>
    <row r="133" customFormat="false" ht="14.25" hidden="false" customHeight="true" outlineLevel="0" collapsed="false">
      <c r="B133" s="1" t="s">
        <v>1235</v>
      </c>
      <c r="C133" s="1" t="n">
        <v>0.0768</v>
      </c>
      <c r="D133" s="224" t="n">
        <f aca="false">'Сетка FX'!K30/'Сетка FX'!O30</f>
        <v>0.232963765567766</v>
      </c>
      <c r="E133" s="1" t="n">
        <f aca="false">IF(ISNUMBER('Сетка FX'!H30),'Сетка FX'!H30*IF('Сетка FX'!B30="сек",'Сетка FX'!C30,1)*IF('Сетка FX'!G30="OpenRouter",'Сетка FX'!$F$3,'Сетка FX'!$F$4)/'Сетка FX'!O30,D133)</f>
        <v>0.330277743589744</v>
      </c>
    </row>
    <row r="134" customFormat="false" ht="14.25" hidden="false" customHeight="true" outlineLevel="0" collapsed="false">
      <c r="B134" s="1" t="s">
        <v>1236</v>
      </c>
      <c r="C134" s="1" t="n">
        <v>0.0576</v>
      </c>
      <c r="D134" s="224" t="n">
        <f aca="false">'Сетка FX'!K25/'Сетка FX'!O25</f>
        <v>0.246948466257669</v>
      </c>
      <c r="E134" s="1" t="n">
        <f aca="false">IF(ISNUMBER('Сетка FX'!H25),'Сетка FX'!H25*IF('Сетка FX'!B25="сек",'Сетка FX'!C25,1)*IF('Сетка FX'!G25="OpenRouter",'Сетка FX'!$F$3,'Сетка FX'!$F$4)/'Сетка FX'!O25,D134)</f>
        <v>0.325711656441718</v>
      </c>
    </row>
    <row r="135" customFormat="false" ht="14.25" hidden="false" customHeight="true" outlineLevel="0" collapsed="false">
      <c r="B135" s="1" t="s">
        <v>1237</v>
      </c>
      <c r="C135" s="1" t="n">
        <v>0.0288</v>
      </c>
      <c r="D135" s="224" t="n">
        <f aca="false">'Сетка FX'!K28/'Сетка FX'!O28</f>
        <v>0.196887717391304</v>
      </c>
      <c r="E135" s="224" t="n">
        <f aca="false">IF(ISNUMBER('Сетка FX'!H28),'Сетка FX'!H28*IF('Сетка FX'!B28="сек",'Сетка FX'!C28,1)*IF('Сетка FX'!G28="OpenRouter",'Сетка FX'!$F$3,'Сетка FX'!$F$4)/'Сетка FX'!O28,D135)</f>
        <v>0.196887717391304</v>
      </c>
    </row>
    <row r="136" customFormat="false" ht="14.25" hidden="false" customHeight="true" outlineLevel="0" collapsed="false">
      <c r="B136" s="1" t="s">
        <v>1238</v>
      </c>
      <c r="C136" s="1" t="n">
        <v>0.0192</v>
      </c>
      <c r="D136" s="224" t="n">
        <f aca="false">'Сетка FX'!K21/'Сетка FX'!O21</f>
        <v>0.247424094339623</v>
      </c>
      <c r="E136" s="1" t="n">
        <f aca="false">IF(ISNUMBER('Сетка FX'!H21),'Сетка FX'!H21*IF('Сетка FX'!B21="сек",'Сетка FX'!C21,1)*IF('Сетка FX'!G21="OpenRouter",'Сетка FX'!$F$3,'Сетка FX'!$F$4)/'Сетка FX'!O21,D136)</f>
        <v>0.267005748820755</v>
      </c>
    </row>
    <row r="137" customFormat="false" ht="14.25" hidden="false" customHeight="true" outlineLevel="0" collapsed="false">
      <c r="B137" s="1" t="s">
        <v>1239</v>
      </c>
      <c r="C137" s="1" t="n">
        <v>0.0096</v>
      </c>
      <c r="D137" s="224" t="n">
        <f aca="false">'Сетка FX'!K27/'Сетка FX'!O27</f>
        <v>0.247758</v>
      </c>
      <c r="E137" s="224" t="n">
        <f aca="false">IF(ISNUMBER('Сетка FX'!H27),'Сетка FX'!H27*IF('Сетка FX'!B27="сек",'Сетка FX'!C27,1)*IF('Сетка FX'!G27="OpenRouter",'Сетка FX'!$F$3,'Сетка FX'!$F$4)/'Сетка FX'!O27,D137)</f>
        <v>0.247758</v>
      </c>
    </row>
    <row r="138" customFormat="false" ht="14.25" hidden="false" customHeight="true" outlineLevel="0" collapsed="false">
      <c r="B138" s="1" t="s">
        <v>1240</v>
      </c>
      <c r="C138" s="1" t="n">
        <v>0.0576</v>
      </c>
      <c r="D138" s="224" t="n">
        <f aca="false">'Сетка FX'!K31/'Сетка FX'!O31</f>
        <v>0.223625555555556</v>
      </c>
      <c r="E138" s="224" t="n">
        <f aca="false">IF(ISNUMBER('Сетка FX'!H31),'Сетка FX'!H31*IF('Сетка FX'!B31="сек",'Сетка FX'!C31,1)*IF('Сетка FX'!G31="OpenRouter",'Сетка FX'!$F$3,'Сетка FX'!$F$4)/'Сетка FX'!O31,D138)</f>
        <v>0.223625555555556</v>
      </c>
    </row>
    <row r="139" customFormat="false" ht="14.25" hidden="false" customHeight="true" outlineLevel="0" collapsed="false">
      <c r="B139" s="1" t="s">
        <v>1241</v>
      </c>
      <c r="C139" s="1" t="n">
        <v>0.048</v>
      </c>
      <c r="D139" s="224" t="n">
        <f aca="false">'Сетка FX'!K36/'Сетка FX'!O36</f>
        <v>0.232226538461538</v>
      </c>
      <c r="E139" s="224" t="n">
        <f aca="false">IF(ISNUMBER('Сетка FX'!H36),'Сетка FX'!H36*IF('Сетка FX'!B36="сек",'Сетка FX'!C36,1)*IF('Сетка FX'!G36="OpenRouter",'Сетка FX'!$F$3,'Сетка FX'!$F$4)/'Сетка FX'!O36,D139)</f>
        <v>0.232226538461538</v>
      </c>
    </row>
    <row r="140" customFormat="false" ht="14.25" hidden="false" customHeight="true" outlineLevel="0" collapsed="false">
      <c r="B140" s="1" t="s">
        <v>1242</v>
      </c>
      <c r="C140" s="1" t="n">
        <v>0.0288</v>
      </c>
      <c r="D140" s="224" t="n">
        <f aca="false">'Сетка FX'!K34/'Сетка FX'!O34</f>
        <v>0.244779324324324</v>
      </c>
      <c r="E140" s="224" t="n">
        <f aca="false">IF(ISNUMBER('Сетка FX'!H34),'Сетка FX'!H34*IF('Сетка FX'!B34="сек",'Сетка FX'!C34,1)*IF('Сетка FX'!G34="OpenRouter",'Сетка FX'!$F$3,'Сетка FX'!$F$4)/'Сетка FX'!O34,D140)</f>
        <v>0.244779324324324</v>
      </c>
    </row>
    <row r="141" customFormat="false" ht="14.25" hidden="false" customHeight="true" outlineLevel="0" collapsed="false">
      <c r="B141" s="1" t="s">
        <v>1243</v>
      </c>
      <c r="C141" s="1" t="n">
        <v>0.0288</v>
      </c>
      <c r="D141" s="224" t="n">
        <f aca="false">'Сетка FX'!K39/'Сетка FX'!O39</f>
        <v>0.233608839285714</v>
      </c>
      <c r="E141" s="1" t="n">
        <f aca="false">IF(ISNUMBER('Сетка FX'!H39),'Сетка FX'!H39*IF('Сетка FX'!B39="сек",'Сетка FX'!C39,1)*IF('Сетка FX'!G39="OpenRouter",'Сетка FX'!$F$3,'Сетка FX'!$F$4)/'Сетка FX'!O39,D141)</f>
        <v>0.303377142857143</v>
      </c>
    </row>
    <row r="142" customFormat="false" ht="14.25" hidden="false" customHeight="true" outlineLevel="0" collapsed="false">
      <c r="B142" s="1" t="s">
        <v>1244</v>
      </c>
      <c r="C142" s="1" t="n">
        <v>0.0192</v>
      </c>
      <c r="D142" s="1" t="n">
        <f aca="false">'Сетка FX'!K42/'Сетка FX'!O42</f>
        <v>0.230613854166667</v>
      </c>
      <c r="E142" s="1" t="n">
        <f aca="false">IF(ISNUMBER('Сетка FX'!H42),'Сетка FX'!H42*IF('Сетка FX'!B42="сек",'Сетка FX'!C42,1)*IF('Сетка FX'!G42="OpenRouter",'Сетка FX'!$F$3,'Сетка FX'!$F$4)/'Сетка FX'!O42,D142)</f>
        <v>0.230613854166667</v>
      </c>
    </row>
    <row r="143" customFormat="false" ht="14.25" hidden="false" customHeight="true" outlineLevel="0" collapsed="false">
      <c r="B143" s="1" t="s">
        <v>1245</v>
      </c>
      <c r="C143" s="1" t="n">
        <v>0.0096</v>
      </c>
      <c r="D143" s="1" t="n">
        <f aca="false">'Сетка FX'!K40/'Сетка FX'!O40</f>
        <v>0.22013140625</v>
      </c>
      <c r="E143" s="1" t="n">
        <f aca="false">IF(ISNUMBER('Сетка FX'!H40),'Сетка FX'!H40*IF('Сетка FX'!B40="сек",'Сетка FX'!C40,1)*IF('Сетка FX'!G40="OpenRouter",'Сетка FX'!$F$3,'Сетка FX'!$F$4)/'Сетка FX'!O40,D143)</f>
        <v>0.22013140625</v>
      </c>
    </row>
    <row r="144" customFormat="false" ht="14.25" hidden="false" customHeight="true" outlineLevel="0" collapsed="false">
      <c r="B144" s="1" t="s">
        <v>1246</v>
      </c>
      <c r="C144" s="1" t="n">
        <v>0.04</v>
      </c>
      <c r="D144" s="1" t="n">
        <f aca="false">'Сетка FX'!K15/'Сетка FX'!O15</f>
        <v>0.248237096774194</v>
      </c>
      <c r="E144" s="1" t="n">
        <f aca="false">IF(ISNUMBER('Сетка FX'!H15),'Сетка FX'!H15*IF('Сетка FX'!B15="сек",'Сетка FX'!C15,1)*IF('Сетка FX'!G15="OpenRouter",'Сетка FX'!$F$3,'Сетка FX'!$F$4)/'Сетка FX'!O15,D144)</f>
        <v>0.248237096774194</v>
      </c>
      <c r="F144" s="225" t="s">
        <v>1247</v>
      </c>
    </row>
    <row r="145" customFormat="false" ht="14.25" hidden="false" customHeight="true" outlineLevel="0" collapsed="false">
      <c r="B145" s="226" t="s">
        <v>1248</v>
      </c>
      <c r="C145" s="1" t="n">
        <f aca="false">SUMPRODUCT(C128:C144,D128:D144)</f>
        <v>0.2362474396235</v>
      </c>
    </row>
    <row r="146" customFormat="false" ht="14.25" hidden="false" customHeight="true" outlineLevel="0" collapsed="false">
      <c r="B146" s="227" t="s">
        <v>1249</v>
      </c>
      <c r="C146" s="228" t="n">
        <f aca="false">SUMPRODUCT(C128:C144,E128:E144)</f>
        <v>0.270801833007105</v>
      </c>
    </row>
    <row r="147" customFormat="false" ht="14.25" hidden="false" customHeight="true" outlineLevel="0" collapsed="false">
      <c r="B147" s="227" t="s">
        <v>1250</v>
      </c>
      <c r="C147" s="228" t="n">
        <f aca="false">C145*(1-C38)+C146*C38</f>
        <v>0.239702878961861</v>
      </c>
    </row>
    <row r="148" customFormat="false" ht="150" hidden="false" customHeight="true" outlineLevel="0" collapsed="false">
      <c r="B148" s="229" t="s">
        <v>1251</v>
      </c>
    </row>
  </sheetData>
  <mergeCells count="8">
    <mergeCell ref="C119:I119"/>
    <mergeCell ref="C120:I120"/>
    <mergeCell ref="C121:I121"/>
    <mergeCell ref="C122:I122"/>
    <mergeCell ref="C123:I123"/>
    <mergeCell ref="C124:I124"/>
    <mergeCell ref="C125:I125"/>
    <mergeCell ref="C126:I1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2" min="2" style="1" width="40"/>
    <col collapsed="false" customWidth="true" hidden="false" outlineLevel="0" max="3" min="3" style="1" width="10"/>
    <col collapsed="false" customWidth="true" hidden="false" outlineLevel="0" max="4" min="4" style="1" width="11"/>
    <col collapsed="false" customWidth="true" hidden="false" outlineLevel="0" max="5" min="5" style="1" width="16.63"/>
    <col collapsed="false" customWidth="true" hidden="false" outlineLevel="0" max="6" min="6" style="1" width="30"/>
    <col collapsed="false" customWidth="true" hidden="false" outlineLevel="0" max="7" min="7" style="1" width="34.63"/>
    <col collapsed="false" customWidth="true" hidden="false" outlineLevel="0" max="8" min="8" style="1" width="30"/>
  </cols>
  <sheetData>
    <row r="2" customFormat="false" ht="15.75" hidden="false" customHeight="true" outlineLevel="0" collapsed="false">
      <c r="B2" s="230" t="s">
        <v>1252</v>
      </c>
    </row>
    <row r="3" customFormat="false" ht="27.75" hidden="false" customHeight="true" outlineLevel="0" collapsed="false">
      <c r="B3" s="231" t="s">
        <v>1253</v>
      </c>
      <c r="C3" s="231"/>
      <c r="D3" s="231"/>
      <c r="E3" s="231"/>
      <c r="F3" s="231"/>
      <c r="G3" s="231"/>
      <c r="H3" s="231"/>
      <c r="I3" s="231"/>
      <c r="J3" s="231"/>
    </row>
    <row r="5" customFormat="false" ht="15" hidden="false" customHeight="true" outlineLevel="0" collapsed="false">
      <c r="B5" s="232" t="s">
        <v>1254</v>
      </c>
      <c r="C5" s="232" t="s">
        <v>1255</v>
      </c>
      <c r="D5" s="232" t="s">
        <v>1256</v>
      </c>
      <c r="E5" s="232" t="s">
        <v>109</v>
      </c>
      <c r="F5" s="232" t="s">
        <v>1257</v>
      </c>
      <c r="G5" s="232" t="s">
        <v>379</v>
      </c>
      <c r="H5" s="232" t="s">
        <v>795</v>
      </c>
    </row>
    <row r="6" customFormat="false" ht="15" hidden="false" customHeight="true" outlineLevel="0" collapsed="false">
      <c r="B6" s="233" t="s">
        <v>201</v>
      </c>
      <c r="C6" s="234" t="s">
        <v>1258</v>
      </c>
      <c r="D6" s="235" t="s">
        <v>490</v>
      </c>
      <c r="E6" s="235" t="s">
        <v>204</v>
      </c>
      <c r="F6" s="236" t="s">
        <v>1259</v>
      </c>
      <c r="G6" s="236" t="s">
        <v>1260</v>
      </c>
      <c r="H6" s="237" t="s">
        <v>170</v>
      </c>
    </row>
    <row r="7" customFormat="false" ht="21.75" hidden="false" customHeight="true" outlineLevel="0" collapsed="false">
      <c r="B7" s="238" t="s">
        <v>235</v>
      </c>
      <c r="C7" s="239" t="n">
        <v>0.04</v>
      </c>
      <c r="D7" s="130" t="s">
        <v>1261</v>
      </c>
      <c r="E7" s="130" t="s">
        <v>168</v>
      </c>
      <c r="F7" s="240" t="s">
        <v>151</v>
      </c>
      <c r="G7" s="240" t="s">
        <v>1262</v>
      </c>
      <c r="H7" s="241" t="s">
        <v>170</v>
      </c>
    </row>
    <row r="8" customFormat="false" ht="15" hidden="false" customHeight="true" outlineLevel="0" collapsed="false">
      <c r="B8" s="233" t="s">
        <v>508</v>
      </c>
      <c r="C8" s="234" t="n">
        <v>0.03</v>
      </c>
      <c r="D8" s="235" t="s">
        <v>1263</v>
      </c>
      <c r="E8" s="235" t="s">
        <v>204</v>
      </c>
      <c r="F8" s="236" t="s">
        <v>1264</v>
      </c>
      <c r="G8" s="236" t="s">
        <v>1265</v>
      </c>
      <c r="H8" s="237" t="s">
        <v>170</v>
      </c>
    </row>
    <row r="9" customFormat="false" ht="21.75" hidden="false" customHeight="true" outlineLevel="0" collapsed="false">
      <c r="B9" s="238" t="s">
        <v>237</v>
      </c>
      <c r="C9" s="239" t="n">
        <v>0.08</v>
      </c>
      <c r="D9" s="130" t="s">
        <v>1266</v>
      </c>
      <c r="E9" s="130" t="s">
        <v>168</v>
      </c>
      <c r="F9" s="240" t="s">
        <v>151</v>
      </c>
      <c r="G9" s="240" t="s">
        <v>1262</v>
      </c>
      <c r="H9" s="241" t="s">
        <v>170</v>
      </c>
    </row>
    <row r="10" customFormat="false" ht="15" hidden="false" customHeight="true" outlineLevel="0" collapsed="false">
      <c r="B10" s="233" t="s">
        <v>210</v>
      </c>
      <c r="C10" s="234" t="n">
        <v>0.025</v>
      </c>
      <c r="D10" s="235" t="s">
        <v>490</v>
      </c>
      <c r="E10" s="235" t="s">
        <v>204</v>
      </c>
      <c r="F10" s="236" t="s">
        <v>1267</v>
      </c>
      <c r="G10" s="236" t="s">
        <v>1268</v>
      </c>
      <c r="H10" s="237" t="s">
        <v>1269</v>
      </c>
    </row>
    <row r="11" customFormat="false" ht="15" hidden="false" customHeight="true" outlineLevel="0" collapsed="false">
      <c r="B11" s="238" t="s">
        <v>209</v>
      </c>
      <c r="C11" s="239" t="n">
        <v>0.055</v>
      </c>
      <c r="D11" s="130" t="s">
        <v>490</v>
      </c>
      <c r="E11" s="130" t="s">
        <v>204</v>
      </c>
      <c r="F11" s="240" t="s">
        <v>1270</v>
      </c>
      <c r="G11" s="240" t="s">
        <v>1271</v>
      </c>
      <c r="H11" s="242" t="s">
        <v>170</v>
      </c>
    </row>
    <row r="12" customFormat="false" ht="15" hidden="false" customHeight="true" outlineLevel="0" collapsed="false">
      <c r="B12" s="233" t="s">
        <v>212</v>
      </c>
      <c r="C12" s="234" t="n">
        <v>0.09</v>
      </c>
      <c r="D12" s="235" t="s">
        <v>1272</v>
      </c>
      <c r="E12" s="235" t="s">
        <v>204</v>
      </c>
      <c r="F12" s="236" t="s">
        <v>1273</v>
      </c>
      <c r="G12" s="236" t="s">
        <v>1274</v>
      </c>
      <c r="H12" s="237" t="s">
        <v>170</v>
      </c>
    </row>
    <row r="13" customFormat="false" ht="21.75" hidden="false" customHeight="true" outlineLevel="0" collapsed="false">
      <c r="B13" s="238" t="s">
        <v>345</v>
      </c>
      <c r="C13" s="239" t="n">
        <v>0.03</v>
      </c>
      <c r="D13" s="130" t="s">
        <v>1275</v>
      </c>
      <c r="E13" s="130" t="s">
        <v>204</v>
      </c>
      <c r="F13" s="240" t="s">
        <v>1276</v>
      </c>
      <c r="G13" s="240" t="s">
        <v>1277</v>
      </c>
      <c r="H13" s="242" t="s">
        <v>170</v>
      </c>
    </row>
    <row r="14" customFormat="false" ht="21.75" hidden="false" customHeight="true" outlineLevel="0" collapsed="false">
      <c r="B14" s="233" t="s">
        <v>224</v>
      </c>
      <c r="C14" s="234" t="s">
        <v>1278</v>
      </c>
      <c r="D14" s="235" t="s">
        <v>1279</v>
      </c>
      <c r="E14" s="235" t="s">
        <v>153</v>
      </c>
      <c r="F14" s="236" t="s">
        <v>1280</v>
      </c>
      <c r="G14" s="236" t="s">
        <v>1281</v>
      </c>
      <c r="H14" s="237" t="s">
        <v>1282</v>
      </c>
    </row>
    <row r="15" customFormat="false" ht="21.75" hidden="false" customHeight="true" outlineLevel="0" collapsed="false">
      <c r="B15" s="238" t="s">
        <v>1283</v>
      </c>
      <c r="C15" s="130" t="s">
        <v>1284</v>
      </c>
      <c r="D15" s="130" t="s">
        <v>1285</v>
      </c>
      <c r="E15" s="130" t="s">
        <v>168</v>
      </c>
      <c r="F15" s="240" t="s">
        <v>151</v>
      </c>
      <c r="G15" s="240" t="s">
        <v>1286</v>
      </c>
      <c r="H15" s="241" t="s">
        <v>1287</v>
      </c>
    </row>
    <row r="16" customFormat="false" ht="21.75" hidden="false" customHeight="true" outlineLevel="0" collapsed="false">
      <c r="B16" s="233" t="s">
        <v>154</v>
      </c>
      <c r="C16" s="235" t="s">
        <v>1288</v>
      </c>
      <c r="D16" s="235" t="s">
        <v>1289</v>
      </c>
      <c r="E16" s="235" t="s">
        <v>1290</v>
      </c>
      <c r="F16" s="236" t="s">
        <v>1291</v>
      </c>
      <c r="G16" s="236" t="s">
        <v>1281</v>
      </c>
      <c r="H16" s="237" t="s">
        <v>1282</v>
      </c>
    </row>
    <row r="17" customFormat="false" ht="21.75" hidden="false" customHeight="true" outlineLevel="0" collapsed="false">
      <c r="B17" s="238" t="s">
        <v>283</v>
      </c>
      <c r="C17" s="130" t="s">
        <v>1292</v>
      </c>
      <c r="D17" s="130" t="s">
        <v>1293</v>
      </c>
      <c r="E17" s="130" t="s">
        <v>1290</v>
      </c>
      <c r="F17" s="240" t="s">
        <v>1294</v>
      </c>
      <c r="G17" s="240" t="s">
        <v>1281</v>
      </c>
      <c r="H17" s="242" t="s">
        <v>1282</v>
      </c>
    </row>
    <row r="18" customFormat="false" ht="21.75" hidden="false" customHeight="true" outlineLevel="0" collapsed="false">
      <c r="B18" s="233" t="s">
        <v>285</v>
      </c>
      <c r="C18" s="235" t="s">
        <v>1295</v>
      </c>
      <c r="D18" s="235" t="s">
        <v>1293</v>
      </c>
      <c r="E18" s="235" t="s">
        <v>1290</v>
      </c>
      <c r="F18" s="236" t="s">
        <v>1296</v>
      </c>
      <c r="G18" s="236" t="s">
        <v>1281</v>
      </c>
      <c r="H18" s="237" t="s">
        <v>1282</v>
      </c>
    </row>
    <row r="19" customFormat="false" ht="21.75" hidden="false" customHeight="true" outlineLevel="0" collapsed="false">
      <c r="B19" s="238" t="s">
        <v>1297</v>
      </c>
      <c r="C19" s="130"/>
      <c r="D19" s="130"/>
      <c r="E19" s="130"/>
      <c r="F19" s="240"/>
      <c r="G19" s="240"/>
      <c r="H19" s="242"/>
    </row>
    <row r="20" customFormat="false" ht="21.75" hidden="false" customHeight="true" outlineLevel="0" collapsed="false">
      <c r="B20" s="233" t="s">
        <v>192</v>
      </c>
      <c r="C20" s="235" t="s">
        <v>1298</v>
      </c>
      <c r="D20" s="235" t="s">
        <v>1299</v>
      </c>
      <c r="E20" s="235" t="s">
        <v>1290</v>
      </c>
      <c r="F20" s="236" t="s">
        <v>1300</v>
      </c>
      <c r="G20" s="236" t="s">
        <v>1281</v>
      </c>
      <c r="H20" s="243" t="s">
        <v>1282</v>
      </c>
    </row>
    <row r="21" customFormat="false" ht="21.75" hidden="false" customHeight="true" outlineLevel="0" collapsed="false">
      <c r="B21" s="238" t="s">
        <v>198</v>
      </c>
      <c r="C21" s="130" t="s">
        <v>1301</v>
      </c>
      <c r="D21" s="130" t="s">
        <v>1302</v>
      </c>
      <c r="E21" s="130" t="s">
        <v>1290</v>
      </c>
      <c r="F21" s="240" t="s">
        <v>1303</v>
      </c>
      <c r="G21" s="240" t="s">
        <v>1281</v>
      </c>
      <c r="H21" s="241" t="s">
        <v>1282</v>
      </c>
    </row>
    <row r="22" customFormat="false" ht="21.75" hidden="false" customHeight="true" outlineLevel="0" collapsed="false">
      <c r="B22" s="233" t="s">
        <v>1304</v>
      </c>
      <c r="C22" s="235" t="s">
        <v>1305</v>
      </c>
      <c r="D22" s="235" t="s">
        <v>1285</v>
      </c>
      <c r="E22" s="235" t="s">
        <v>168</v>
      </c>
      <c r="F22" s="236" t="s">
        <v>1306</v>
      </c>
      <c r="G22" s="236" t="s">
        <v>1307</v>
      </c>
      <c r="H22" s="237" t="s">
        <v>1308</v>
      </c>
    </row>
    <row r="23" customFormat="false" ht="21.75" hidden="false" customHeight="true" outlineLevel="0" collapsed="false">
      <c r="B23" s="238" t="s">
        <v>1309</v>
      </c>
      <c r="C23" s="130" t="s">
        <v>1310</v>
      </c>
      <c r="D23" s="130" t="s">
        <v>1285</v>
      </c>
      <c r="E23" s="130" t="s">
        <v>168</v>
      </c>
      <c r="F23" s="240" t="s">
        <v>1311</v>
      </c>
      <c r="G23" s="240" t="s">
        <v>1312</v>
      </c>
      <c r="H23" s="242" t="s">
        <v>1313</v>
      </c>
    </row>
    <row r="25" customFormat="false" ht="30" hidden="false" customHeight="true" outlineLevel="0" collapsed="false">
      <c r="B25" s="231" t="s">
        <v>1314</v>
      </c>
      <c r="C25" s="231"/>
      <c r="D25" s="231"/>
      <c r="E25" s="231"/>
      <c r="F25" s="231"/>
      <c r="G25" s="231"/>
      <c r="H25" s="231"/>
      <c r="I25" s="231"/>
      <c r="J25" s="231"/>
    </row>
    <row r="27" customFormat="false" ht="53.25" hidden="false" customHeight="true" outlineLevel="0" collapsed="false">
      <c r="B27" s="244" t="s">
        <v>1315</v>
      </c>
    </row>
  </sheetData>
  <mergeCells count="2">
    <mergeCell ref="B3:J3"/>
    <mergeCell ref="B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2"/>
    <col collapsed="false" customWidth="true" hidden="false" outlineLevel="0" max="4" min="4" style="1" width="16"/>
    <col collapsed="false" customWidth="true" hidden="false" outlineLevel="0" max="5" min="5" style="1" width="12"/>
    <col collapsed="false" customWidth="true" hidden="false" outlineLevel="0" max="6" min="6" style="1" width="15"/>
    <col collapsed="false" customWidth="true" hidden="false" outlineLevel="0" max="7" min="7" style="1" width="20"/>
    <col collapsed="false" customWidth="true" hidden="false" outlineLevel="0" max="8" min="8" style="1" width="32"/>
  </cols>
  <sheetData>
    <row r="1" customFormat="false" ht="15" hidden="false" customHeight="true" outlineLevel="0" collapsed="false">
      <c r="A1" s="45" t="s">
        <v>1316</v>
      </c>
    </row>
    <row r="2" customFormat="false" ht="27" hidden="false" customHeight="true" outlineLevel="0" collapsed="false">
      <c r="A2" s="45" t="s">
        <v>1317</v>
      </c>
    </row>
    <row r="3" customFormat="false" ht="26.25" hidden="false" customHeight="true" outlineLevel="0" collapsed="false">
      <c r="A3" s="245" t="s">
        <v>74</v>
      </c>
      <c r="B3" s="245" t="s">
        <v>1318</v>
      </c>
      <c r="C3" s="245" t="s">
        <v>1319</v>
      </c>
      <c r="D3" s="245" t="s">
        <v>1320</v>
      </c>
      <c r="E3" s="245" t="s">
        <v>1321</v>
      </c>
      <c r="F3" s="245" t="s">
        <v>1322</v>
      </c>
      <c r="G3" s="245" t="s">
        <v>1323</v>
      </c>
      <c r="H3" s="245" t="s">
        <v>1324</v>
      </c>
    </row>
    <row r="4" customFormat="false" ht="15" hidden="false" customHeight="true" outlineLevel="0" collapsed="false">
      <c r="A4" s="246" t="s">
        <v>1325</v>
      </c>
      <c r="B4" s="246" t="s">
        <v>392</v>
      </c>
      <c r="C4" s="246" t="n">
        <v>850</v>
      </c>
      <c r="D4" s="246" t="n">
        <v>113</v>
      </c>
      <c r="E4" s="246" t="n">
        <v>306</v>
      </c>
      <c r="F4" s="247" t="n">
        <v>0.62</v>
      </c>
      <c r="G4" s="248" t="n">
        <v>0</v>
      </c>
      <c r="H4" s="246"/>
    </row>
    <row r="5" customFormat="false" ht="15" hidden="false" customHeight="true" outlineLevel="0" collapsed="false">
      <c r="A5" s="246"/>
      <c r="B5" s="246" t="s">
        <v>403</v>
      </c>
      <c r="C5" s="246" t="n">
        <v>867</v>
      </c>
      <c r="D5" s="246" t="n">
        <v>115</v>
      </c>
      <c r="E5" s="246" t="n">
        <v>306</v>
      </c>
      <c r="F5" s="247" t="n">
        <v>0.62</v>
      </c>
      <c r="G5" s="248" t="n">
        <v>0.02</v>
      </c>
      <c r="H5" s="246"/>
    </row>
    <row r="6" customFormat="false" ht="15" hidden="false" customHeight="true" outlineLevel="0" collapsed="false">
      <c r="A6" s="246"/>
      <c r="B6" s="246" t="s">
        <v>419</v>
      </c>
      <c r="C6" s="246" t="n">
        <v>1258</v>
      </c>
      <c r="D6" s="246" t="n">
        <v>168</v>
      </c>
      <c r="E6" s="246" t="n">
        <v>459</v>
      </c>
      <c r="F6" s="247" t="n">
        <v>0.62</v>
      </c>
      <c r="G6" s="248" t="n">
        <v>0</v>
      </c>
      <c r="H6" s="246" t="s">
        <v>1326</v>
      </c>
    </row>
    <row r="7" customFormat="false" ht="15" hidden="false" customHeight="true" outlineLevel="0" collapsed="false">
      <c r="A7" s="246" t="s">
        <v>1327</v>
      </c>
      <c r="B7" s="246" t="s">
        <v>392</v>
      </c>
      <c r="C7" s="246" t="n">
        <v>213</v>
      </c>
      <c r="D7" s="246" t="n">
        <v>27</v>
      </c>
      <c r="E7" s="246" t="n">
        <v>76</v>
      </c>
      <c r="F7" s="247" t="n">
        <v>0.62</v>
      </c>
      <c r="G7" s="248" t="n">
        <v>0</v>
      </c>
      <c r="H7" s="246"/>
    </row>
    <row r="8" customFormat="false" ht="15" hidden="false" customHeight="true" outlineLevel="0" collapsed="false">
      <c r="A8" s="246"/>
      <c r="B8" s="246" t="s">
        <v>403</v>
      </c>
      <c r="C8" s="246" t="n">
        <v>231</v>
      </c>
      <c r="D8" s="246" t="n">
        <v>29</v>
      </c>
      <c r="E8" s="246" t="n">
        <v>92</v>
      </c>
      <c r="F8" s="247" t="n">
        <v>0.62</v>
      </c>
      <c r="G8" s="248" t="n">
        <v>0</v>
      </c>
      <c r="H8" s="246" t="s">
        <v>1326</v>
      </c>
    </row>
    <row r="9" customFormat="false" ht="15" hidden="false" customHeight="true" outlineLevel="0" collapsed="false">
      <c r="A9" s="246"/>
      <c r="B9" s="246" t="s">
        <v>419</v>
      </c>
      <c r="C9" s="246" t="n">
        <v>639</v>
      </c>
      <c r="D9" s="246" t="n">
        <v>82</v>
      </c>
      <c r="E9" s="246" t="n">
        <v>229</v>
      </c>
      <c r="F9" s="247" t="n">
        <v>0.62</v>
      </c>
      <c r="G9" s="248" t="n">
        <v>0.01</v>
      </c>
      <c r="H9" s="246"/>
    </row>
    <row r="10" customFormat="false" ht="15" hidden="false" customHeight="true" outlineLevel="0" collapsed="false">
      <c r="A10" s="246" t="s">
        <v>1328</v>
      </c>
      <c r="B10" s="246" t="s">
        <v>392</v>
      </c>
      <c r="C10" s="246" t="n">
        <v>107</v>
      </c>
      <c r="D10" s="246" t="n">
        <v>14</v>
      </c>
      <c r="E10" s="246" t="n">
        <v>38</v>
      </c>
      <c r="F10" s="247" t="n">
        <v>0.62</v>
      </c>
      <c r="G10" s="248" t="n">
        <v>0.01</v>
      </c>
      <c r="H10" s="246"/>
    </row>
    <row r="11" customFormat="false" ht="15" hidden="false" customHeight="true" outlineLevel="0" collapsed="false">
      <c r="A11" s="246"/>
      <c r="B11" s="246" t="s">
        <v>403</v>
      </c>
      <c r="C11" s="246" t="n">
        <v>125</v>
      </c>
      <c r="D11" s="246" t="n">
        <v>16</v>
      </c>
      <c r="E11" s="246" t="n">
        <v>61</v>
      </c>
      <c r="F11" s="247" t="n">
        <v>0.62</v>
      </c>
      <c r="G11" s="248" t="n">
        <v>0</v>
      </c>
      <c r="H11" s="246" t="s">
        <v>1326</v>
      </c>
    </row>
    <row r="12" customFormat="false" ht="15" hidden="false" customHeight="true" outlineLevel="0" collapsed="false">
      <c r="A12" s="246"/>
      <c r="B12" s="246" t="s">
        <v>419</v>
      </c>
      <c r="C12" s="246" t="n">
        <v>535</v>
      </c>
      <c r="D12" s="246" t="n">
        <v>68</v>
      </c>
      <c r="E12" s="246" t="n">
        <v>61</v>
      </c>
      <c r="F12" s="247" t="n">
        <v>0.62</v>
      </c>
      <c r="G12" s="249" t="n">
        <v>0.68</v>
      </c>
      <c r="H12" s="246"/>
    </row>
    <row r="13" customFormat="false" ht="15" hidden="false" customHeight="true" outlineLevel="0" collapsed="false">
      <c r="A13" s="246" t="s">
        <v>1329</v>
      </c>
      <c r="B13" s="246" t="s">
        <v>426</v>
      </c>
      <c r="C13" s="246" t="n">
        <v>128</v>
      </c>
      <c r="D13" s="246" t="n">
        <v>32</v>
      </c>
      <c r="E13" s="246" t="n">
        <v>43</v>
      </c>
      <c r="F13" s="247" t="n">
        <v>0.3</v>
      </c>
      <c r="G13" s="248" t="n">
        <v>0.07</v>
      </c>
      <c r="H13" s="246"/>
    </row>
    <row r="14" customFormat="false" ht="15" hidden="false" customHeight="true" outlineLevel="0" collapsed="false">
      <c r="A14" s="246"/>
      <c r="B14" s="246" t="s">
        <v>392</v>
      </c>
      <c r="C14" s="246" t="n">
        <v>282</v>
      </c>
      <c r="D14" s="246" t="n">
        <v>72</v>
      </c>
      <c r="E14" s="246" t="n">
        <v>93</v>
      </c>
      <c r="F14" s="247" t="n">
        <v>0.29</v>
      </c>
      <c r="G14" s="248" t="n">
        <v>0.09</v>
      </c>
      <c r="H14" s="246"/>
    </row>
    <row r="15" customFormat="false" ht="15" hidden="false" customHeight="true" outlineLevel="0" collapsed="false">
      <c r="A15" s="246"/>
      <c r="B15" s="246" t="s">
        <v>403</v>
      </c>
      <c r="C15" s="246" t="n">
        <v>642</v>
      </c>
      <c r="D15" s="246" t="n">
        <v>163</v>
      </c>
      <c r="E15" s="246" t="n">
        <v>231</v>
      </c>
      <c r="F15" s="247" t="n">
        <v>0.3</v>
      </c>
      <c r="G15" s="248" t="n">
        <v>0</v>
      </c>
      <c r="H15" s="246"/>
    </row>
    <row r="16" customFormat="false" ht="15" hidden="false" customHeight="true" outlineLevel="0" collapsed="false">
      <c r="A16" s="246" t="s">
        <v>1329</v>
      </c>
      <c r="B16" s="246" t="s">
        <v>1330</v>
      </c>
      <c r="C16" s="246" t="n">
        <v>1963</v>
      </c>
      <c r="D16" s="246" t="n">
        <v>497</v>
      </c>
      <c r="E16" s="246" t="n">
        <v>497</v>
      </c>
      <c r="F16" s="247" t="n">
        <v>0.3</v>
      </c>
      <c r="G16" s="246" t="n">
        <v>0</v>
      </c>
      <c r="H16" s="1" t="s">
        <v>1331</v>
      </c>
    </row>
    <row r="17" customFormat="false" ht="15" hidden="false" customHeight="true" outlineLevel="0" collapsed="false">
      <c r="A17" s="246" t="s">
        <v>1332</v>
      </c>
      <c r="B17" s="246" t="s">
        <v>426</v>
      </c>
      <c r="C17" s="246" t="n">
        <v>98</v>
      </c>
      <c r="D17" s="246" t="n">
        <v>26</v>
      </c>
      <c r="E17" s="246" t="n">
        <v>35</v>
      </c>
      <c r="F17" s="247" t="n">
        <v>0.27</v>
      </c>
      <c r="G17" s="248" t="n">
        <v>0.01</v>
      </c>
      <c r="H17" s="246" t="s">
        <v>1326</v>
      </c>
    </row>
    <row r="18" customFormat="false" ht="15" hidden="false" customHeight="true" outlineLevel="0" collapsed="false">
      <c r="A18" s="246"/>
      <c r="B18" s="246" t="s">
        <v>392</v>
      </c>
      <c r="C18" s="246" t="n">
        <v>208</v>
      </c>
      <c r="D18" s="246" t="n">
        <v>58</v>
      </c>
      <c r="E18" s="246" t="n">
        <v>75</v>
      </c>
      <c r="F18" s="247" t="n">
        <v>0.23</v>
      </c>
      <c r="G18" s="248" t="n">
        <v>0</v>
      </c>
      <c r="H18" s="246"/>
    </row>
    <row r="19" customFormat="false" ht="15" hidden="false" customHeight="true" outlineLevel="0" collapsed="false">
      <c r="A19" s="246"/>
      <c r="B19" s="246"/>
      <c r="C19" s="246"/>
      <c r="D19" s="246"/>
      <c r="E19" s="246"/>
      <c r="F19" s="247"/>
      <c r="G19" s="248"/>
      <c r="H19" s="246"/>
    </row>
    <row r="20" customFormat="false" ht="15" hidden="false" customHeight="true" outlineLevel="0" collapsed="false">
      <c r="A20" s="246" t="s">
        <v>1333</v>
      </c>
      <c r="B20" s="246" t="s">
        <v>392</v>
      </c>
      <c r="C20" s="246" t="n">
        <v>282</v>
      </c>
      <c r="D20" s="246" t="n">
        <v>48</v>
      </c>
      <c r="E20" s="246" t="n">
        <v>101</v>
      </c>
      <c r="F20" s="247" t="n">
        <v>0.53</v>
      </c>
      <c r="G20" s="248" t="n">
        <v>0</v>
      </c>
      <c r="H20" s="246"/>
    </row>
    <row r="21" customFormat="false" ht="15" hidden="false" customHeight="true" outlineLevel="0" collapsed="false">
      <c r="A21" s="246"/>
      <c r="B21" s="246" t="s">
        <v>403</v>
      </c>
      <c r="C21" s="246" t="n">
        <v>282</v>
      </c>
      <c r="D21" s="246" t="n">
        <v>48</v>
      </c>
      <c r="E21" s="246" t="n">
        <v>101</v>
      </c>
      <c r="F21" s="247" t="n">
        <v>0.53</v>
      </c>
      <c r="G21" s="248" t="n">
        <v>0</v>
      </c>
      <c r="H21" s="246"/>
    </row>
    <row r="22" customFormat="false" ht="15" hidden="false" customHeight="true" outlineLevel="0" collapsed="false">
      <c r="A22" s="246"/>
      <c r="B22" s="246" t="s">
        <v>419</v>
      </c>
      <c r="C22" s="246" t="n">
        <v>657</v>
      </c>
      <c r="D22" s="246" t="n">
        <v>86</v>
      </c>
      <c r="E22" s="246" t="n">
        <v>114</v>
      </c>
      <c r="F22" s="247" t="n">
        <v>0.636</v>
      </c>
      <c r="G22" s="249" t="n">
        <v>0.38</v>
      </c>
      <c r="H22" s="246"/>
    </row>
    <row r="23" customFormat="false" ht="15" hidden="false" customHeight="true" outlineLevel="0" collapsed="false">
      <c r="A23" s="246" t="s">
        <v>1334</v>
      </c>
      <c r="B23" s="246" t="s">
        <v>426</v>
      </c>
      <c r="C23" s="246" t="n">
        <v>24</v>
      </c>
      <c r="D23" s="246" t="n">
        <v>4</v>
      </c>
      <c r="E23" s="246" t="n">
        <v>27</v>
      </c>
      <c r="F23" s="247" t="n">
        <v>0.5</v>
      </c>
      <c r="G23" s="250" t="n">
        <v>-2.14</v>
      </c>
      <c r="H23" s="246" t="s">
        <v>1335</v>
      </c>
    </row>
    <row r="24" customFormat="false" ht="15" hidden="false" customHeight="true" outlineLevel="0" collapsed="false">
      <c r="A24" s="246"/>
      <c r="B24" s="246" t="s">
        <v>392</v>
      </c>
      <c r="C24" s="246" t="n">
        <v>45</v>
      </c>
      <c r="D24" s="246" t="n">
        <v>8</v>
      </c>
      <c r="E24" s="246" t="n">
        <v>38</v>
      </c>
      <c r="F24" s="247" t="n">
        <v>0.5</v>
      </c>
      <c r="G24" s="250" t="n">
        <v>-1.35</v>
      </c>
      <c r="H24" s="246" t="s">
        <v>1335</v>
      </c>
    </row>
    <row r="25" customFormat="false" ht="15" hidden="false" customHeight="true" outlineLevel="0" collapsed="false">
      <c r="A25" s="246" t="s">
        <v>1336</v>
      </c>
      <c r="B25" s="246" t="s">
        <v>392</v>
      </c>
      <c r="C25" s="246" t="n">
        <v>232</v>
      </c>
      <c r="D25" s="246" t="n">
        <v>47</v>
      </c>
      <c r="E25" s="246" t="n">
        <v>51</v>
      </c>
      <c r="F25" s="247" t="n">
        <v>0.43</v>
      </c>
      <c r="G25" s="249" t="n">
        <v>0.39</v>
      </c>
      <c r="H25" s="246"/>
    </row>
    <row r="26" customFormat="false" ht="15" hidden="false" customHeight="true" outlineLevel="0" collapsed="false">
      <c r="A26" s="246"/>
      <c r="B26" s="246" t="s">
        <v>403</v>
      </c>
      <c r="C26" s="246" t="n">
        <v>301</v>
      </c>
      <c r="D26" s="246" t="n">
        <v>61</v>
      </c>
      <c r="E26" s="246" t="n">
        <v>66</v>
      </c>
      <c r="F26" s="247" t="n">
        <v>0.44</v>
      </c>
      <c r="G26" s="249" t="n">
        <v>0.39</v>
      </c>
      <c r="H26" s="246"/>
    </row>
    <row r="27" customFormat="false" ht="15" hidden="false" customHeight="true" outlineLevel="0" collapsed="false">
      <c r="A27" s="246" t="s">
        <v>1337</v>
      </c>
      <c r="B27" s="246" t="s">
        <v>392</v>
      </c>
      <c r="C27" s="246" t="n">
        <v>232</v>
      </c>
      <c r="D27" s="246" t="n">
        <v>47</v>
      </c>
      <c r="E27" s="246" t="n">
        <v>63</v>
      </c>
      <c r="F27" s="247" t="n">
        <v>0.43</v>
      </c>
      <c r="G27" s="249" t="n">
        <v>0.24</v>
      </c>
      <c r="H27" s="246"/>
    </row>
    <row r="28" customFormat="false" ht="15" hidden="false" customHeight="true" outlineLevel="0" collapsed="false">
      <c r="A28" s="246"/>
      <c r="B28" s="246" t="s">
        <v>403</v>
      </c>
      <c r="C28" s="246" t="n">
        <v>400</v>
      </c>
      <c r="D28" s="246" t="n">
        <v>81</v>
      </c>
      <c r="E28" s="246" t="n">
        <v>109</v>
      </c>
      <c r="F28" s="247" t="n">
        <v>0.44</v>
      </c>
      <c r="G28" s="249" t="n">
        <v>0.25</v>
      </c>
      <c r="H28" s="246"/>
    </row>
    <row r="29" customFormat="false" ht="15" hidden="false" customHeight="true" outlineLevel="0" collapsed="false">
      <c r="A29" s="246" t="s">
        <v>1338</v>
      </c>
      <c r="B29" s="246" t="s">
        <v>1339</v>
      </c>
      <c r="C29" s="246" t="n">
        <v>10</v>
      </c>
      <c r="D29" s="246" t="n">
        <v>3</v>
      </c>
      <c r="E29" s="246" t="n">
        <v>3</v>
      </c>
      <c r="F29" s="247" t="n">
        <v>0.25</v>
      </c>
      <c r="G29" s="249" t="n">
        <v>0.25</v>
      </c>
      <c r="H29" s="246"/>
    </row>
    <row r="30" customFormat="false" ht="15" hidden="false" customHeight="true" outlineLevel="0" collapsed="false">
      <c r="A30" s="246"/>
      <c r="B30" s="246" t="s">
        <v>1340</v>
      </c>
      <c r="C30" s="246" t="n">
        <v>17</v>
      </c>
      <c r="D30" s="246" t="n">
        <v>5</v>
      </c>
      <c r="E30" s="246" t="n">
        <v>5</v>
      </c>
      <c r="F30" s="247" t="n">
        <v>0.26</v>
      </c>
      <c r="G30" s="249" t="n">
        <v>0.26</v>
      </c>
      <c r="H30" s="246"/>
    </row>
    <row r="31" customFormat="false" ht="15" hidden="false" customHeight="true" outlineLevel="0" collapsed="false">
      <c r="A31" s="246"/>
      <c r="B31" s="246" t="s">
        <v>1341</v>
      </c>
      <c r="C31" s="246" t="n">
        <v>27</v>
      </c>
      <c r="D31" s="246" t="n">
        <v>7</v>
      </c>
      <c r="E31" s="246" t="n">
        <v>7</v>
      </c>
      <c r="F31" s="247" t="n">
        <v>0.25</v>
      </c>
      <c r="G31" s="249" t="n">
        <v>0.25</v>
      </c>
      <c r="H31" s="246"/>
    </row>
    <row r="32" customFormat="false" ht="15" hidden="false" customHeight="true" outlineLevel="0" collapsed="false">
      <c r="A32" s="246" t="s">
        <v>1342</v>
      </c>
      <c r="B32" s="246" t="s">
        <v>490</v>
      </c>
      <c r="C32" s="246" t="n">
        <v>31</v>
      </c>
      <c r="D32" s="246" t="n">
        <v>8</v>
      </c>
      <c r="E32" s="246" t="n">
        <v>8</v>
      </c>
      <c r="F32" s="247" t="n">
        <v>0.27</v>
      </c>
      <c r="G32" s="249" t="n">
        <v>0.27</v>
      </c>
      <c r="H32" s="246"/>
    </row>
    <row r="33" customFormat="false" ht="15" hidden="false" customHeight="true" outlineLevel="0" collapsed="false">
      <c r="A33" s="246"/>
      <c r="B33" s="246" t="s">
        <v>531</v>
      </c>
      <c r="C33" s="246" t="n">
        <v>31</v>
      </c>
      <c r="D33" s="246" t="n">
        <v>8</v>
      </c>
      <c r="E33" s="246" t="n">
        <v>8</v>
      </c>
      <c r="F33" s="247" t="n">
        <v>0.27</v>
      </c>
      <c r="G33" s="249" t="n">
        <v>0.27</v>
      </c>
      <c r="H33" s="246"/>
    </row>
    <row r="34" customFormat="false" ht="15" hidden="false" customHeight="true" outlineLevel="0" collapsed="false">
      <c r="A34" s="246"/>
      <c r="B34" s="246" t="s">
        <v>419</v>
      </c>
      <c r="C34" s="246" t="n">
        <v>41</v>
      </c>
      <c r="D34" s="246" t="n">
        <v>8</v>
      </c>
      <c r="E34" s="246" t="n">
        <v>11</v>
      </c>
      <c r="F34" s="247" t="n">
        <v>0.45</v>
      </c>
      <c r="G34" s="249" t="n">
        <v>0.26</v>
      </c>
      <c r="H34" s="246" t="s">
        <v>1343</v>
      </c>
    </row>
    <row r="35" customFormat="false" ht="15" hidden="false" customHeight="true" outlineLevel="0" collapsed="false">
      <c r="A35" s="246" t="s">
        <v>1344</v>
      </c>
      <c r="B35" s="246" t="s">
        <v>490</v>
      </c>
      <c r="C35" s="246" t="n">
        <v>15</v>
      </c>
      <c r="D35" s="246" t="n">
        <v>3</v>
      </c>
      <c r="E35" s="246" t="n">
        <v>3</v>
      </c>
      <c r="F35" s="247" t="n">
        <v>0.41</v>
      </c>
      <c r="G35" s="249" t="n">
        <v>0.41</v>
      </c>
      <c r="H35" s="246"/>
    </row>
    <row r="36" customFormat="false" ht="15" hidden="false" customHeight="true" outlineLevel="0" collapsed="false">
      <c r="A36" s="246"/>
      <c r="B36" s="246" t="s">
        <v>531</v>
      </c>
      <c r="C36" s="246" t="n">
        <v>30</v>
      </c>
      <c r="D36" s="246" t="n">
        <v>6</v>
      </c>
      <c r="E36" s="246" t="n">
        <v>6</v>
      </c>
      <c r="F36" s="247" t="n">
        <v>0.41</v>
      </c>
      <c r="G36" s="249" t="n">
        <v>0.41</v>
      </c>
      <c r="H36" s="246"/>
    </row>
    <row r="38" customFormat="false" ht="15" hidden="false" customHeight="true" outlineLevel="0" collapsed="false">
      <c r="A38" s="1" t="s">
        <v>1345</v>
      </c>
    </row>
    <row r="39" customFormat="false" ht="15" hidden="false" customHeight="true" outlineLevel="0" collapsed="false">
      <c r="A39" s="1" t="s">
        <v>74</v>
      </c>
      <c r="B39" s="1" t="s">
        <v>1346</v>
      </c>
      <c r="C39" s="1" t="s">
        <v>1347</v>
      </c>
      <c r="D39" s="1" t="s">
        <v>1348</v>
      </c>
      <c r="E39" s="1" t="s">
        <v>1324</v>
      </c>
    </row>
    <row r="40" customFormat="false" ht="15" hidden="false" customHeight="true" outlineLevel="0" collapsed="false">
      <c r="A40" s="1" t="s">
        <v>1349</v>
      </c>
      <c r="B40" s="1" t="s">
        <v>1350</v>
      </c>
      <c r="C40" s="1" t="n">
        <v>242</v>
      </c>
      <c r="D40" s="1" t="n">
        <v>0.64</v>
      </c>
      <c r="E40" s="1" t="s">
        <v>1351</v>
      </c>
    </row>
    <row r="41" customFormat="false" ht="15" hidden="false" customHeight="true" outlineLevel="0" collapsed="false">
      <c r="A41" s="1" t="s">
        <v>1349</v>
      </c>
      <c r="B41" s="1" t="s">
        <v>1352</v>
      </c>
      <c r="C41" s="1" t="n">
        <v>117</v>
      </c>
      <c r="D41" s="1" t="n">
        <v>0.31</v>
      </c>
    </row>
    <row r="42" customFormat="false" ht="15" hidden="false" customHeight="true" outlineLevel="0" collapsed="false">
      <c r="A42" s="1" t="s">
        <v>1349</v>
      </c>
      <c r="B42" s="1" t="s">
        <v>1353</v>
      </c>
      <c r="C42" s="1" t="n">
        <v>47</v>
      </c>
      <c r="D42" s="1" t="n">
        <v>0.125</v>
      </c>
    </row>
    <row r="43" customFormat="false" ht="15" hidden="false" customHeight="true" outlineLevel="0" collapsed="false">
      <c r="A43" s="1" t="s">
        <v>1349</v>
      </c>
      <c r="B43" s="1" t="s">
        <v>1354</v>
      </c>
      <c r="C43" s="1" t="n">
        <v>22</v>
      </c>
      <c r="D43" s="1" t="n">
        <v>0.057</v>
      </c>
    </row>
    <row r="44" customFormat="false" ht="15" hidden="false" customHeight="true" outlineLevel="0" collapsed="false">
      <c r="A44" s="1" t="s">
        <v>1355</v>
      </c>
      <c r="B44" s="1" t="s">
        <v>1353</v>
      </c>
      <c r="C44" s="1" t="n">
        <v>34</v>
      </c>
      <c r="D44" s="1" t="n">
        <v>0.1</v>
      </c>
      <c r="E44" s="1" t="s">
        <v>1356</v>
      </c>
    </row>
    <row r="45" customFormat="false" ht="15" hidden="false" customHeight="true" outlineLevel="0" collapsed="false">
      <c r="A45" s="1" t="s">
        <v>1355</v>
      </c>
      <c r="B45" s="1" t="s">
        <v>1354</v>
      </c>
      <c r="C45" s="1" t="n">
        <v>15</v>
      </c>
      <c r="D45" s="1" t="n">
        <v>0.045</v>
      </c>
    </row>
    <row r="46" customFormat="false" ht="14.25" hidden="false" customHeight="true" outlineLevel="0" collapsed="false">
      <c r="A46" s="1" t="s">
        <v>1357</v>
      </c>
    </row>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1" customFormat="false" ht="15" hidden="false" customHeight="true" outlineLevel="0" collapsed="false">
      <c r="A51" s="1" t="s">
        <v>1358</v>
      </c>
    </row>
    <row r="53" customFormat="false" ht="14.25" hidden="false" customHeight="true" outlineLevel="0" collapsed="false">
      <c r="A53" s="1" t="s">
        <v>1359</v>
      </c>
    </row>
    <row r="54" customFormat="false" ht="14.25" hidden="false" customHeight="true" outlineLevel="0" collapsed="false">
      <c r="A54" s="1" t="s">
        <v>1360</v>
      </c>
    </row>
    <row r="55" customFormat="false" ht="14.25" hidden="false" customHeight="true" outlineLevel="0" collapsed="false">
      <c r="A55" s="1" t="s">
        <v>1361</v>
      </c>
    </row>
    <row r="56" customFormat="false" ht="14.25" hidden="false" customHeight="true" outlineLevel="0" collapsed="false">
      <c r="A56" s="1" t="s">
        <v>1362</v>
      </c>
    </row>
    <row r="57" customFormat="false" ht="14.25" hidden="false" customHeight="true" outlineLevel="0" collapsed="false">
      <c r="A57" s="1" t="s">
        <v>1363</v>
      </c>
    </row>
    <row r="58" customFormat="false" ht="14.25" hidden="false" customHeight="true" outlineLevel="0" collapsed="false">
      <c r="A58" s="1" t="s">
        <v>1364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dimension ref="A1:AE121"/>
  <sheetViews>
    <sheetView workbookViewId="0">
      <pane ySplit="10" topLeftCell="A11" activePane="bottomLeft" state="frozen"/>
    </sheetView>
  </sheetViews>
  <sheetFormatPr defaultRowHeight="15"/>
  <cols>
    <col min="1" max="1" width="21" customWidth="1"/>
    <col min="2" max="2" width="32" customWidth="1"/>
    <col min="3" max="5" width="15" customWidth="1"/>
    <col min="6" max="11" width="14" customWidth="1"/>
    <col min="12" max="15" width="16" customWidth="1"/>
    <col min="16" max="21" width="17" customWidth="1"/>
    <col min="22" max="24" width="15" customWidth="1"/>
    <col min="25" max="25" width="48" customWidth="1"/>
  </cols>
  <sheetData>
    <row r="1">
      <c r="A1" s="44" t="inlineStr">
        <is>
          <t>LLM / TEXT PRICING — ЕДИНЫЙ ФИНАНСОВЫЙ ИСТОЧНИК</t>
        </is>
      </c>
    </row>
    <row r="2">
      <c r="A2" s="45" t="inlineStr">
        <is>
          <t xml:space="preserve">Синие входы: ставки $/1M токенов и продуктовые лимиты. Все цены в кредитах, себестоимость и маржа считаются формулами. Существующие media-листы не изменены. TEMPORARY POLICY (owner-approved 2026-08-14): Scenario and structurize use a 7% gross-margin floor until reviewed before launch; Boards and media remain on the global 25% floor. ACTIVE Scenario pricing uses scenario_assist_band rows: UTF-8 context bands, no-cache worst-route, conditional conspect, and 25% minimum gross margin. Legacy scenario_assist_price rows remain only for backwards-compatible import/replay.</t>
        </is>
      </c>
    </row>
    <row r="3">
      <c r="A3" s="46" t="inlineStr">
        <is>
          <t>Курс USD/RUB</t>
        </is>
      </c>
      <c r="B3" s="47">
        <f>'Сетка FX'!$B$3</f>
        <v>85</v>
      </c>
      <c r="D3" s="46" t="inlineStr">
        <is>
          <t>Landed ₽/$ OpenRouter</t>
        </is>
      </c>
      <c r="E3" s="47">
        <f>'Сетка FX'!$F$3</f>
        <v>106.182</v>
      </c>
      <c r="G3" s="46" t="inlineStr">
        <is>
          <t>Landed ₽/$ direct / Kie</t>
        </is>
      </c>
      <c r="H3" s="47">
        <f>'Сетка FX'!$F$4</f>
        <v>100.6315</v>
      </c>
      <c r="J3" s="46" t="inlineStr">
        <is>
          <t>Conspect max input tokens</t>
        </is>
      </c>
      <c r="K3" s="47">
        <v>24000</v>
      </c>
      <c r="M3" s="46" t="inlineStr">
        <is>
          <t>Conspect max output tokens</t>
        </is>
      </c>
      <c r="N3" s="47">
        <v>1600</v>
      </c>
      <c r="P3" s="46" t="inlineStr">
        <is>
          <t>Conspect max attempts</t>
        </is>
      </c>
      <c r="Q3" s="47">
        <v>2</v>
      </c>
    </row>
    <row r="4">
      <c r="A4" s="46" t="inlineStr">
        <is>
          <t>Цена кредита, ₽</t>
        </is>
      </c>
      <c r="B4" s="47">
        <f>'Сетка FX'!$B$4</f>
        <v>0.331111</v>
      </c>
      <c r="D4" s="46" t="inlineStr">
        <is>
          <t>Целевая валовая маржа</t>
        </is>
      </c>
      <c r="E4" s="47">
        <f>'Сетка FX'!$B$5</f>
        <v>0.25</v>
      </c>
      <c r="G4" s="46" t="inlineStr">
        <is>
          <t>Дата снимка ставок</t>
        </is>
      </c>
      <c r="H4" s="47" t="inlineStr">
        <is>
          <t>2026-08-13</t>
        </is>
      </c>
      <c r="J4" s="46" t="inlineStr">
        <is>
          <t>Structurize max attempts</t>
        </is>
      </c>
      <c r="K4" s="47">
        <v>2</v>
      </c>
      <c r="M4" s="46" t="inlineStr">
        <is>
          <t xml:space="preserve">Scenario temporary margin floor</t>
        </is>
      </c>
      <c r="N4" s="47">
        <v>0.07</v>
      </c>
      <c r="P4" s="46" t="inlineStr">
        <is>
          <t xml:space="preserve">Scenario active band margin floor</t>
        </is>
      </c>
      <c r="Q4" s="47">
        <v>0.25</v>
      </c>
    </row>
    <row r="5">
      <c r="A5" s="45" t="inlineStr">
        <is>
          <t>Правило Boards: цена покрывает полностью выполненную primary-попытку и полностью выполненный fallback на максимальном input/output. Это консервативный fail-closed сценарий; пользователь списывается один раз.</t>
        </is>
      </c>
    </row>
    <row r="6">
      <c r="A6" s="45" t="inlineStr">
        <is>
          <t xml:space="preserve">Scenario использует одну стоимость OpenRouter на вызов и отдельные лимиты каждого scope. Boards Prompt Studio использует строки surface=boards_prompt_studio. TEMPORARY POLICY (owner-approved 2026-08-14): Scenario and structurize use a 7% gross-margin floor until reviewed before launch; Boards and media remain on the global 25% floor. ACTIVE Scenario pricing uses scenario_assist_band rows: UTF-8 context bands, no-cache worst-route, conditional conspect, and 25% minimum gross margin. Legacy scenario_assist_price rows remain only for backwards-compatible import/replay.</t>
        </is>
      </c>
    </row>
    <row r="10">
      <c r="A10" s="50" t="inlineStr">
        <is>
          <t>surface</t>
        </is>
      </c>
      <c r="B10" s="50" t="inlineStr">
        <is>
          <t>selector</t>
        </is>
      </c>
      <c r="C10" s="50" t="inlineStr">
        <is>
          <t>model_slug</t>
        </is>
      </c>
      <c r="D10" s="50" t="inlineStr">
        <is>
          <t>primary_provider</t>
        </is>
      </c>
      <c r="E10" s="50" t="inlineStr">
        <is>
          <t>fallback_provider</t>
        </is>
      </c>
      <c r="F10" s="50" t="inlineStr">
        <is>
          <t>primary_input_$/MTok</t>
        </is>
      </c>
      <c r="G10" s="50" t="inlineStr">
        <is>
          <t>primary_output_$/MTok</t>
        </is>
      </c>
      <c r="H10" s="50" t="inlineStr">
        <is>
          <t>fallback_input_$/MTok</t>
        </is>
      </c>
      <c r="I10" s="50" t="inlineStr">
        <is>
          <t>fallback_output_$/MTok</t>
        </is>
      </c>
      <c r="J10" s="50" t="inlineStr">
        <is>
          <t>primary_max_attempts</t>
        </is>
      </c>
      <c r="K10" s="50" t="inlineStr">
        <is>
          <t>fallback_max_attempts</t>
        </is>
      </c>
      <c r="L10" s="50" t="inlineStr">
        <is>
          <t>typical_input_tokens</t>
        </is>
      </c>
      <c r="M10" s="50" t="inlineStr">
        <is>
          <t>typical_output_tokens</t>
        </is>
      </c>
      <c r="N10" s="50" t="inlineStr">
        <is>
          <t>max_input_tokens</t>
        </is>
      </c>
      <c r="O10" s="50" t="inlineStr">
        <is>
          <t>max_output_tokens</t>
        </is>
      </c>
      <c r="P10" s="50" t="inlineStr">
        <is>
          <t>primary_max_cost_$</t>
        </is>
      </c>
      <c r="Q10" s="50" t="inlineStr">
        <is>
          <t>fallback_max_cost_$</t>
        </is>
      </c>
      <c r="R10" s="50" t="inlineStr">
        <is>
          <t>worst_route_cost_$</t>
        </is>
      </c>
      <c r="S10" s="50" t="inlineStr">
        <is>
          <t>worst_route_cost_₽</t>
        </is>
      </c>
      <c r="T10" s="50" t="inlineStr">
        <is>
          <t>credits</t>
        </is>
      </c>
      <c r="U10" s="50" t="inlineStr">
        <is>
          <t>margin_at_floor</t>
        </is>
      </c>
      <c r="V10" s="50" t="inlineStr">
        <is>
          <t>brief_char_limit</t>
        </is>
      </c>
      <c r="W10" s="50" t="inlineStr">
        <is>
          <t>result_char_limit</t>
        </is>
      </c>
      <c r="X10" s="50" t="inlineStr">
        <is>
          <t>chars_per_token</t>
        </is>
      </c>
      <c r="Y10" s="50" t="inlineStr">
        <is>
          <t>source/status</t>
        </is>
      </c>
      <c r="Z10" s="50" t="inlineStr">
        <is>
          <t xml:space="preserve">cache_read_multiplier</t>
        </is>
      </c>
      <c r="AA10" s="50" t="inlineStr">
        <is>
          <t xml:space="preserve">cache_write_multiplier</t>
        </is>
      </c>
      <c r="AB10" s="50" t="inlineStr">
        <is>
          <t xml:space="preserve">cache_ttl</t>
        </is>
      </c>
      <c r="AC10" s="50" t="inlineStr">
        <is>
          <t xml:space="preserve">cache_min_prefix_tokens</t>
        </is>
      </c>
      <c r="AD10" s="50" t="inlineStr">
        <is>
          <t xml:space="preserve">cache_status</t>
        </is>
      </c>
      <c r="AE10" s="50" t="inlineStr">
        <is>
          <t xml:space="preserve">cache_evidence</t>
        </is>
      </c>
    </row>
    <row r="11">
      <c r="A11" s="59" t="inlineStr">
        <is>
          <t>boards_prompt_studio</t>
        </is>
      </c>
      <c r="B11" s="59" t="inlineStr">
        <is>
          <t>gemini</t>
        </is>
      </c>
      <c r="C11" s="59" t="inlineStr">
        <is>
          <t>google/gemini-3-flash-preview</t>
        </is>
      </c>
      <c r="D11" s="59" t="inlineStr">
        <is>
          <t>Kie</t>
        </is>
      </c>
      <c r="E11" s="59" t="inlineStr">
        <is>
          <t>OpenRouter</t>
        </is>
      </c>
      <c r="F11" s="59">
        <v>0.15</v>
      </c>
      <c r="G11" s="59">
        <v>0.9</v>
      </c>
      <c r="H11" s="59">
        <v>0.5</v>
      </c>
      <c r="I11" s="59">
        <v>3.0</v>
      </c>
      <c r="J11" s="59">
        <v>1</v>
      </c>
      <c r="K11" s="59">
        <v>1</v>
      </c>
      <c r="L11" s="59">
        <v>420</v>
      </c>
      <c r="M11" s="59">
        <v>96</v>
      </c>
      <c r="N11" s="59">
        <v>2400</v>
      </c>
      <c r="O11" s="59">
        <v>400</v>
      </c>
      <c r="P11" s="59">
        <f>J11*(N11*F11+O11*G11)/1000000</f>
        <v>0.00072</v>
      </c>
      <c r="Q11" s="59">
        <f>K11*(N11*H11+O11*I11)/1000000</f>
        <v>0.0024</v>
      </c>
      <c r="R11" s="59">
        <f>P11+Q11+IF(A11="scenario_assist_price",$Q$3*($K$3*$F$15+$N$3*$G$15)/1000000,0)</f>
        <v>0.00312</v>
      </c>
      <c r="S11" s="59">
        <f>P11*IF(D11="OpenRouter",$E$3,$H$3)+Q11*IF(E11="OpenRouter",$E$3,$H$3)+IF(A11="scenario_assist_price",$Q$3*($K$3*$F$15+$N$3*$G$15)/1000000*$E$3,0)</f>
        <v>0.32729147999999997</v>
      </c>
      <c r="T11" s="60">
        <f>ROUNDUP(S11/($B$4*(1-$E$4)),0)</f>
        <v>2</v>
      </c>
      <c r="U11" s="59">
        <f>1-S11/(T11*$B$4)</f>
        <v>0.5057677334791053</v>
      </c>
      <c r="V11" s="59">
        <v>1000</v>
      </c>
      <c r="W11" s="59">
        <v>1000</v>
      </c>
      <c r="X11" s="59">
        <v>1.5</v>
      </c>
      <c r="Y11" s="63" t="inlineStr">
        <is>
          <t>owner-confirmed Kie + OpenRouter catalog; 2026-08-13</t>
        </is>
      </c>
    </row>
    <row r="12">
      <c r="A12" s="59" t="inlineStr">
        <is>
          <t>boards_prompt_studio</t>
        </is>
      </c>
      <c r="B12" s="59" t="inlineStr">
        <is>
          <t>claude</t>
        </is>
      </c>
      <c r="C12" s="59" t="inlineStr">
        <is>
          <t>anthropic/claude-sonnet-5</t>
        </is>
      </c>
      <c r="D12" s="59" t="inlineStr">
        <is>
          <t>Kie</t>
        </is>
      </c>
      <c r="E12" s="59" t="inlineStr">
        <is>
          <t>OpenRouter</t>
        </is>
      </c>
      <c r="F12" s="59">
        <v>0.85</v>
      </c>
      <c r="G12" s="59">
        <v>4.275</v>
      </c>
      <c r="H12" s="59">
        <v>2.0</v>
      </c>
      <c r="I12" s="59">
        <v>10.0</v>
      </c>
      <c r="J12" s="59">
        <v>1</v>
      </c>
      <c r="K12" s="59">
        <v>1</v>
      </c>
      <c r="L12" s="59">
        <v>420</v>
      </c>
      <c r="M12" s="59">
        <v>96</v>
      </c>
      <c r="N12" s="59">
        <v>2400</v>
      </c>
      <c r="O12" s="59">
        <v>400</v>
      </c>
      <c r="P12" s="59">
        <f>J12*(N12*F12+O12*G12)/1000000</f>
        <v>0.00375</v>
      </c>
      <c r="Q12" s="59">
        <f>K12*(N12*H12+O12*I12)/1000000</f>
        <v>0.0088</v>
      </c>
      <c r="R12" s="59">
        <f>P12+Q12+IF(A12="scenario_assist_price",$Q$3*($K$3*$F$15+$N$3*$G$15)/1000000,0)</f>
        <v>0.01255</v>
      </c>
      <c r="S12" s="59">
        <f>P12*IF(D12="OpenRouter",$E$3,$H$3)+Q12*IF(E12="OpenRouter",$E$3,$H$3)+IF(A12="scenario_assist_price",$Q$3*($K$3*$F$15+$N$3*$G$15)/1000000*$E$3,0)</f>
        <v>1.311769725</v>
      </c>
      <c r="T12" s="60">
        <f>ROUNDUP(S12/($B$4*(1-$E$4)),0)</f>
        <v>6</v>
      </c>
      <c r="U12" s="59">
        <f>1-S12/(T12*$B$4)</f>
        <v>0.3397130040983235</v>
      </c>
      <c r="V12" s="59">
        <v>1000</v>
      </c>
      <c r="W12" s="59">
        <v>1000</v>
      </c>
      <c r="X12" s="59">
        <v>1.5</v>
      </c>
      <c r="Y12" s="63" t="inlineStr">
        <is>
          <t>owner-confirmed Kie + OpenRouter catalog; 2026-08-13</t>
        </is>
      </c>
    </row>
    <row r="13">
      <c r="A13" s="59" t="inlineStr">
        <is>
          <t>boards_prompt_studio</t>
        </is>
      </c>
      <c r="B13" s="59" t="inlineStr">
        <is>
          <t>gpt</t>
        </is>
      </c>
      <c r="C13" s="59" t="inlineStr">
        <is>
          <t>openai/gpt-5.6-terra</t>
        </is>
      </c>
      <c r="D13" s="59" t="inlineStr">
        <is>
          <t>Kie</t>
        </is>
      </c>
      <c r="E13" s="59" t="inlineStr">
        <is>
          <t>OpenRouter</t>
        </is>
      </c>
      <c r="F13" s="59">
        <v>0.7</v>
      </c>
      <c r="G13" s="59">
        <v>4.2</v>
      </c>
      <c r="H13" s="59">
        <v>2.5</v>
      </c>
      <c r="I13" s="59">
        <v>15.0</v>
      </c>
      <c r="J13" s="59">
        <v>1</v>
      </c>
      <c r="K13" s="59">
        <v>1</v>
      </c>
      <c r="L13" s="59">
        <v>420</v>
      </c>
      <c r="M13" s="59">
        <v>96</v>
      </c>
      <c r="N13" s="59">
        <v>2400</v>
      </c>
      <c r="O13" s="59">
        <v>400</v>
      </c>
      <c r="P13" s="59">
        <f>J13*(N13*F13+O13*G13)/1000000</f>
        <v>0.00336</v>
      </c>
      <c r="Q13" s="59">
        <f>K13*(N13*H13+O13*I13)/1000000</f>
        <v>0.012</v>
      </c>
      <c r="R13" s="59">
        <f>P13+Q13+IF(A13="scenario_assist_price",$Q$3*($K$3*$F$15+$N$3*$G$15)/1000000,0)</f>
        <v>0.01536</v>
      </c>
      <c r="S13" s="59">
        <f>P13*IF(D13="OpenRouter",$E$3,$H$3)+Q13*IF(E13="OpenRouter",$E$3,$H$3)+IF(A13="scenario_assist_price",$Q$3*($K$3*$F$15+$N$3*$G$15)/1000000*$E$3,0)</f>
        <v>1.6123058399999999</v>
      </c>
      <c r="T13" s="60">
        <f>ROUNDUP(S13/($B$4*(1-$E$4)),0)</f>
        <v>7</v>
      </c>
      <c r="U13" s="59">
        <f>1-S13/(T13*$B$4)</f>
        <v>0.3043740446125749</v>
      </c>
      <c r="V13" s="59">
        <v>1000</v>
      </c>
      <c r="W13" s="59">
        <v>1000</v>
      </c>
      <c r="X13" s="59">
        <v>1.5</v>
      </c>
      <c r="Y13" s="63" t="inlineStr">
        <is>
          <t>owner-confirmed Kie + OpenRouter catalog; 2026-08-13</t>
        </is>
      </c>
    </row>
    <row r="15">
      <c r="A15" s="59" t="inlineStr">
        <is>
          <t>scenario_assist_price</t>
        </is>
      </c>
      <c r="B15" s="59" t="inlineStr">
        <is>
          <t>economy/project</t>
        </is>
      </c>
      <c r="C15" s="59" t="inlineStr">
        <is>
          <t>qwen/qwen3.5-plus-02-15</t>
        </is>
      </c>
      <c r="D15" s="59" t="inlineStr">
        <is>
          <t>OpenRouter</t>
        </is>
      </c>
      <c r="E15" s="59" t="inlineStr">
        <is>
          <t>—</t>
        </is>
      </c>
      <c r="F15" s="59">
        <v>0.26</v>
      </c>
      <c r="G15" s="59">
        <v>1.56</v>
      </c>
      <c r="H15" s="59">
        <v>0</v>
      </c>
      <c r="I15" s="59">
        <v>0</v>
      </c>
      <c r="J15" s="59">
        <v>2</v>
      </c>
      <c r="K15" s="59">
        <v>0</v>
      </c>
      <c r="L15" s="59">
        <v>0</v>
      </c>
      <c r="M15" s="59">
        <v>0</v>
      </c>
      <c r="N15" s="59">
        <v>24000</v>
      </c>
      <c r="O15" s="59">
        <v>2000</v>
      </c>
      <c r="P15" s="59">
        <f>J15*(N15*F15+O15*G15)/1000000</f>
        <v>0.01872</v>
      </c>
      <c r="Q15" s="59">
        <f>K15*(N15*H15+O15*I15)/1000000</f>
        <v>0.0</v>
      </c>
      <c r="R15" s="59">
        <f>P15+Q15+IF(A15="scenario_assist_price",$Q$3*($K$3*$F$15+$N$3*$G$15)/1000000,0)</f>
        <v>0.036192</v>
      </c>
      <c r="S15" s="59">
        <f>P15*IF(D15="OpenRouter",$E$3,$H$3)+Q15*IF(E15="OpenRouter",$E$3,$H$3)+IF(A15="scenario_assist_price",$Q$3*($K$3*$F$15+$N$3*$G$15)/1000000*$E$3,0)</f>
        <v>3.842938944</v>
      </c>
      <c r="T15" s="60">
        <f>ROUNDUP(S15/($B$4*(1-$N$4)),0)</f>
        <v>13</v>
      </c>
      <c r="U15" s="59">
        <f>1-S15/(T15*$B$4)</f>
        <v>0.10721574336098771</v>
      </c>
      <c r="V15" s="59">
        <v>0</v>
      </c>
      <c r="W15" s="59">
        <v>0</v>
      </c>
      <c r="X15" s="59">
        <v>0</v>
      </c>
      <c r="Y15" s="63" t="inlineStr">
        <is>
          <t xml:space="preserve">TEMPORARY 7% Scenario margin policy — owner-approved 2026-08-14; review before launch. OpenRouter catalog; two pre-token attempts + conspect overhead</t>
        </is>
      </c>
    </row>
    <row r="16">
      <c r="A16" s="59" t="inlineStr">
        <is>
          <t>scenario_assist_price</t>
        </is>
      </c>
      <c r="B16" s="59" t="inlineStr">
        <is>
          <t>economy/span</t>
        </is>
      </c>
      <c r="C16" s="59" t="inlineStr">
        <is>
          <t>qwen/qwen3.5-plus-02-15</t>
        </is>
      </c>
      <c r="D16" s="59" t="inlineStr">
        <is>
          <t>OpenRouter</t>
        </is>
      </c>
      <c r="E16" s="59" t="inlineStr">
        <is>
          <t>—</t>
        </is>
      </c>
      <c r="F16" s="59">
        <v>0.26</v>
      </c>
      <c r="G16" s="59">
        <v>1.56</v>
      </c>
      <c r="H16" s="59">
        <v>0</v>
      </c>
      <c r="I16" s="59">
        <v>0</v>
      </c>
      <c r="J16" s="59">
        <v>2</v>
      </c>
      <c r="K16" s="59">
        <v>0</v>
      </c>
      <c r="L16" s="59">
        <v>0</v>
      </c>
      <c r="M16" s="59">
        <v>0</v>
      </c>
      <c r="N16" s="59">
        <v>22400</v>
      </c>
      <c r="O16" s="59">
        <v>1500</v>
      </c>
      <c r="P16" s="59">
        <f>J16*(N16*F16+O16*G16)/1000000</f>
        <v>0.016328</v>
      </c>
      <c r="Q16" s="59">
        <f>K16*(N16*H16+O16*I16)/1000000</f>
        <v>0.0</v>
      </c>
      <c r="R16" s="59">
        <f>P16+Q16+IF(A16="scenario_assist_price",$Q$3*($K$3*$F$15+$N$3*$G$15)/1000000,0)</f>
        <v>0.0338</v>
      </c>
      <c r="S16" s="59">
        <f>P16*IF(D16="OpenRouter",$E$3,$H$3)+Q16*IF(E16="OpenRouter",$E$3,$H$3)+IF(A16="scenario_assist_price",$Q$3*($K$3*$F$15+$N$3*$G$15)/1000000*$E$3,0)</f>
        <v>3.5889516</v>
      </c>
      <c r="T16" s="60">
        <f>ROUNDUP(S16/($B$4*(1-$N$4)),0)</f>
        <v>12</v>
      </c>
      <c r="U16" s="59">
        <f>1-S16/(T16*$B$4)</f>
        <v>0.09674006602015639</v>
      </c>
      <c r="V16" s="59">
        <v>0</v>
      </c>
      <c r="W16" s="59">
        <v>0</v>
      </c>
      <c r="X16" s="59">
        <v>0</v>
      </c>
      <c r="Y16" s="63" t="inlineStr">
        <is>
          <t xml:space="preserve">TEMPORARY 7% Scenario margin policy — owner-approved 2026-08-14; review before launch. OpenRouter catalog; two pre-token attempts + conspect overhead</t>
        </is>
      </c>
    </row>
    <row r="17">
      <c r="A17" s="59" t="inlineStr">
        <is>
          <t>scenario_assist_price</t>
        </is>
      </c>
      <c r="B17" s="59" t="inlineStr">
        <is>
          <t>economy/scene</t>
        </is>
      </c>
      <c r="C17" s="59" t="inlineStr">
        <is>
          <t>qwen/qwen3.5-plus-02-15</t>
        </is>
      </c>
      <c r="D17" s="59" t="inlineStr">
        <is>
          <t>OpenRouter</t>
        </is>
      </c>
      <c r="E17" s="59" t="inlineStr">
        <is>
          <t>—</t>
        </is>
      </c>
      <c r="F17" s="59">
        <v>0.26</v>
      </c>
      <c r="G17" s="59">
        <v>1.56</v>
      </c>
      <c r="H17" s="59">
        <v>0</v>
      </c>
      <c r="I17" s="59">
        <v>0</v>
      </c>
      <c r="J17" s="59">
        <v>2</v>
      </c>
      <c r="K17" s="59">
        <v>0</v>
      </c>
      <c r="L17" s="59">
        <v>0</v>
      </c>
      <c r="M17" s="59">
        <v>0</v>
      </c>
      <c r="N17" s="59">
        <v>28000</v>
      </c>
      <c r="O17" s="59">
        <v>2000</v>
      </c>
      <c r="P17" s="59">
        <f>J17*(N17*F17+O17*G17)/1000000</f>
        <v>0.0208</v>
      </c>
      <c r="Q17" s="59">
        <f>K17*(N17*H17+O17*I17)/1000000</f>
        <v>0.0</v>
      </c>
      <c r="R17" s="59">
        <f>P17+Q17+IF(A17="scenario_assist_price",$Q$3*($K$3*$F$15+$N$3*$G$15)/1000000,0)</f>
        <v>0.038272</v>
      </c>
      <c r="S17" s="59">
        <f>P17*IF(D17="OpenRouter",$E$3,$H$3)+Q17*IF(E17="OpenRouter",$E$3,$H$3)+IF(A17="scenario_assist_price",$Q$3*($K$3*$F$15+$N$3*$G$15)/1000000*$E$3,0)</f>
        <v>4.063797504</v>
      </c>
      <c r="T17" s="60">
        <f>ROUNDUP(S17/($B$4*(1-$N$4)),0)</f>
        <v>14</v>
      </c>
      <c r="U17" s="59">
        <f>1-S17/(T17*$B$4)</f>
        <v>0.12334156737252977</v>
      </c>
      <c r="V17" s="59">
        <v>0</v>
      </c>
      <c r="W17" s="59">
        <v>0</v>
      </c>
      <c r="X17" s="59">
        <v>0</v>
      </c>
      <c r="Y17" s="63" t="inlineStr">
        <is>
          <t xml:space="preserve">TEMPORARY 7% Scenario margin policy — owner-approved 2026-08-14; review before launch. OpenRouter catalog; two pre-token attempts + conspect overhead</t>
        </is>
      </c>
    </row>
    <row r="18">
      <c r="A18" s="59" t="inlineStr">
        <is>
          <t>scenario_assist_price</t>
        </is>
      </c>
      <c r="B18" s="59" t="inlineStr">
        <is>
          <t>economy/script</t>
        </is>
      </c>
      <c r="C18" s="59" t="inlineStr">
        <is>
          <t>qwen/qwen3.5-plus-02-15</t>
        </is>
      </c>
      <c r="D18" s="59" t="inlineStr">
        <is>
          <t>OpenRouter</t>
        </is>
      </c>
      <c r="E18" s="59" t="inlineStr">
        <is>
          <t>—</t>
        </is>
      </c>
      <c r="F18" s="59">
        <v>0.26</v>
      </c>
      <c r="G18" s="59">
        <v>1.56</v>
      </c>
      <c r="H18" s="59">
        <v>0</v>
      </c>
      <c r="I18" s="59">
        <v>0</v>
      </c>
      <c r="J18" s="59">
        <v>2</v>
      </c>
      <c r="K18" s="59">
        <v>0</v>
      </c>
      <c r="L18" s="59">
        <v>0</v>
      </c>
      <c r="M18" s="59">
        <v>0</v>
      </c>
      <c r="N18" s="59">
        <v>83800</v>
      </c>
      <c r="O18" s="59">
        <v>2500</v>
      </c>
      <c r="P18" s="59">
        <f>J18*(N18*F18+O18*G18)/1000000</f>
        <v>0.051376</v>
      </c>
      <c r="Q18" s="59">
        <f>K18*(N18*H18+O18*I18)/1000000</f>
        <v>0.0</v>
      </c>
      <c r="R18" s="59">
        <f>P18+Q18+IF(A18="scenario_assist_price",$Q$3*($K$3*$F$15+$N$3*$G$15)/1000000,0)</f>
        <v>0.06884799999999999</v>
      </c>
      <c r="S18" s="59">
        <f>P18*IF(D18="OpenRouter",$E$3,$H$3)+Q18*IF(E18="OpenRouter",$E$3,$H$3)+IF(A18="scenario_assist_price",$Q$3*($K$3*$F$15+$N$3*$G$15)/1000000*$E$3,0)</f>
        <v>7.310418336</v>
      </c>
      <c r="T18" s="60">
        <f>ROUNDUP(S18/($B$4*(1-$N$4)),0)</f>
        <v>24</v>
      </c>
      <c r="U18" s="59">
        <f>1-S18/(T18*$B$4)</f>
        <v>0.08006449800822091</v>
      </c>
      <c r="V18" s="59">
        <v>0</v>
      </c>
      <c r="W18" s="59">
        <v>0</v>
      </c>
      <c r="X18" s="59">
        <v>0</v>
      </c>
      <c r="Y18" s="63" t="inlineStr">
        <is>
          <t xml:space="preserve">TEMPORARY 7% Scenario margin policy — owner-approved 2026-08-14; review before launch. OpenRouter catalog; two pre-token attempts + conspect overhead</t>
        </is>
      </c>
    </row>
    <row r="20">
      <c r="A20" s="59" t="inlineStr">
        <is>
          <t>scenario_assist_price</t>
        </is>
      </c>
      <c r="B20" s="59" t="inlineStr">
        <is>
          <t>standard/project</t>
        </is>
      </c>
      <c r="C20" s="59" t="inlineStr">
        <is>
          <t>google/gemini-3-flash-preview</t>
        </is>
      </c>
      <c r="D20" s="59" t="inlineStr">
        <is>
          <t>Kie</t>
        </is>
      </c>
      <c r="E20" s="59" t="inlineStr">
        <is>
          <t>OpenRouter</t>
        </is>
      </c>
      <c r="F20" s="59">
        <v>0.15</v>
      </c>
      <c r="G20" s="59">
        <v>0.9</v>
      </c>
      <c r="H20" s="59">
        <v>0.5</v>
      </c>
      <c r="I20" s="59">
        <v>3.0</v>
      </c>
      <c r="J20" s="59">
        <v>1</v>
      </c>
      <c r="K20" s="59">
        <v>2</v>
      </c>
      <c r="L20" s="59">
        <v>0</v>
      </c>
      <c r="M20" s="59">
        <v>0</v>
      </c>
      <c r="N20" s="59">
        <v>24000</v>
      </c>
      <c r="O20" s="59">
        <v>2000</v>
      </c>
      <c r="P20" s="59">
        <f>J20*(N20*F20+O20*G20)/1000000</f>
        <v>0.0054</v>
      </c>
      <c r="Q20" s="59">
        <f>K20*(N20*H20+O20*I20)/1000000</f>
        <v>0.036</v>
      </c>
      <c r="R20" s="59">
        <f>P20+Q20+IF(A20="scenario_assist_price",$Q$3*($K$3*$F$15+$N$3*$G$15)/1000000,0)</f>
        <v>0.058872</v>
      </c>
      <c r="S20" s="59">
        <f>P20*IF(D20="OpenRouter",$E$3,$H$3)+Q20*IF(E20="OpenRouter",$E$3,$H$3)+IF(A20="scenario_assist_price",$Q$3*($K$3*$F$15+$N$3*$G$15)/1000000*$E$3,0)</f>
        <v>6.221174004</v>
      </c>
      <c r="T20" s="60">
        <f>ROUNDUP(S20/($B$4*(1-$N$4)),0)</f>
        <v>21</v>
      </c>
      <c r="U20" s="59">
        <f>1-S20/(T20*$B$4)</f>
        <v>0.10529586409736569</v>
      </c>
      <c r="V20" s="59">
        <v>0</v>
      </c>
      <c r="W20" s="59">
        <v>0</v>
      </c>
      <c r="X20" s="59">
        <v>0</v>
      </c>
      <c r="Y20" s="63" t="inlineStr">
        <is>
          <t xml:space="preserve">TEMPORARY 7% Scenario margin policy — owner-approved 2026-08-14; review before launch. Kie primary + two OpenRouter pre-token attempts + conspect overhead</t>
        </is>
      </c>
    </row>
    <row r="21">
      <c r="A21" s="59" t="inlineStr">
        <is>
          <t>scenario_assist_price</t>
        </is>
      </c>
      <c r="B21" s="59" t="inlineStr">
        <is>
          <t>standard/span</t>
        </is>
      </c>
      <c r="C21" s="59" t="inlineStr">
        <is>
          <t>google/gemini-3-flash-preview</t>
        </is>
      </c>
      <c r="D21" s="59" t="inlineStr">
        <is>
          <t>Kie</t>
        </is>
      </c>
      <c r="E21" s="59" t="inlineStr">
        <is>
          <t>OpenRouter</t>
        </is>
      </c>
      <c r="F21" s="59">
        <v>0.15</v>
      </c>
      <c r="G21" s="59">
        <v>0.9</v>
      </c>
      <c r="H21" s="59">
        <v>0.5</v>
      </c>
      <c r="I21" s="59">
        <v>3.0</v>
      </c>
      <c r="J21" s="59">
        <v>1</v>
      </c>
      <c r="K21" s="59">
        <v>2</v>
      </c>
      <c r="L21" s="59">
        <v>0</v>
      </c>
      <c r="M21" s="59">
        <v>0</v>
      </c>
      <c r="N21" s="59">
        <v>22400</v>
      </c>
      <c r="O21" s="59">
        <v>1500</v>
      </c>
      <c r="P21" s="59">
        <f>J21*(N21*F21+O21*G21)/1000000</f>
        <v>0.00471</v>
      </c>
      <c r="Q21" s="59">
        <f>K21*(N21*H21+O21*I21)/1000000</f>
        <v>0.0314</v>
      </c>
      <c r="R21" s="59">
        <f>P21+Q21+IF(A21="scenario_assist_price",$Q$3*($K$3*$F$15+$N$3*$G$15)/1000000,0)</f>
        <v>0.053582</v>
      </c>
      <c r="S21" s="59">
        <f>P21*IF(D21="OpenRouter",$E$3,$H$3)+Q21*IF(E21="OpenRouter",$E$3,$H$3)+IF(A21="scenario_assist_price",$Q$3*($K$3*$F$15+$N$3*$G$15)/1000000*$E$3,0)</f>
        <v>5.663301069</v>
      </c>
      <c r="T21" s="60">
        <f>ROUNDUP(S21/($B$4*(1-$N$4)),0)</f>
        <v>19</v>
      </c>
      <c r="U21" s="59">
        <f>1-S21/(T21*$B$4)</f>
        <v>0.09979288723180602</v>
      </c>
      <c r="V21" s="59">
        <v>0</v>
      </c>
      <c r="W21" s="59">
        <v>0</v>
      </c>
      <c r="X21" s="59">
        <v>0</v>
      </c>
      <c r="Y21" s="63" t="inlineStr">
        <is>
          <t xml:space="preserve">TEMPORARY 7% Scenario margin policy — owner-approved 2026-08-14; review before launch. Kie primary + two OpenRouter pre-token attempts + conspect overhead</t>
        </is>
      </c>
    </row>
    <row r="22">
      <c r="A22" s="59" t="inlineStr">
        <is>
          <t>scenario_assist_price</t>
        </is>
      </c>
      <c r="B22" s="59" t="inlineStr">
        <is>
          <t>standard/scene</t>
        </is>
      </c>
      <c r="C22" s="59" t="inlineStr">
        <is>
          <t>google/gemini-3-flash-preview</t>
        </is>
      </c>
      <c r="D22" s="59" t="inlineStr">
        <is>
          <t>Kie</t>
        </is>
      </c>
      <c r="E22" s="59" t="inlineStr">
        <is>
          <t>OpenRouter</t>
        </is>
      </c>
      <c r="F22" s="59">
        <v>0.15</v>
      </c>
      <c r="G22" s="59">
        <v>0.9</v>
      </c>
      <c r="H22" s="59">
        <v>0.5</v>
      </c>
      <c r="I22" s="59">
        <v>3.0</v>
      </c>
      <c r="J22" s="59">
        <v>1</v>
      </c>
      <c r="K22" s="59">
        <v>2</v>
      </c>
      <c r="L22" s="59">
        <v>0</v>
      </c>
      <c r="M22" s="59">
        <v>0</v>
      </c>
      <c r="N22" s="59">
        <v>28000</v>
      </c>
      <c r="O22" s="59">
        <v>2000</v>
      </c>
      <c r="P22" s="59">
        <f>J22*(N22*F22+O22*G22)/1000000</f>
        <v>0.006</v>
      </c>
      <c r="Q22" s="59">
        <f>K22*(N22*H22+O22*I22)/1000000</f>
        <v>0.04</v>
      </c>
      <c r="R22" s="59">
        <f>P22+Q22+IF(A22="scenario_assist_price",$Q$3*($K$3*$F$15+$N$3*$G$15)/1000000,0)</f>
        <v>0.063472</v>
      </c>
      <c r="S22" s="59">
        <f>P22*IF(D22="OpenRouter",$E$3,$H$3)+Q22*IF(E22="OpenRouter",$E$3,$H$3)+IF(A22="scenario_assist_price",$Q$3*($K$3*$F$15+$N$3*$G$15)/1000000*$E$3,0)</f>
        <v>6.706280904</v>
      </c>
      <c r="T22" s="60">
        <f>ROUNDUP(S22/($B$4*(1-$N$4)),0)</f>
        <v>22</v>
      </c>
      <c r="U22" s="59">
        <f>1-S22/(T22*$B$4)</f>
        <v>0.07936930460836944</v>
      </c>
      <c r="V22" s="59">
        <v>0</v>
      </c>
      <c r="W22" s="59">
        <v>0</v>
      </c>
      <c r="X22" s="59">
        <v>0</v>
      </c>
      <c r="Y22" s="63" t="inlineStr">
        <is>
          <t xml:space="preserve">TEMPORARY 7% Scenario margin policy — owner-approved 2026-08-14; review before launch. Kie primary + two OpenRouter pre-token attempts + conspect overhead</t>
        </is>
      </c>
    </row>
    <row r="23">
      <c r="A23" s="59" t="inlineStr">
        <is>
          <t>scenario_assist_price</t>
        </is>
      </c>
      <c r="B23" s="59" t="inlineStr">
        <is>
          <t>standard/script</t>
        </is>
      </c>
      <c r="C23" s="59" t="inlineStr">
        <is>
          <t>google/gemini-3-flash-preview</t>
        </is>
      </c>
      <c r="D23" s="59" t="inlineStr">
        <is>
          <t>Kie</t>
        </is>
      </c>
      <c r="E23" s="59" t="inlineStr">
        <is>
          <t>OpenRouter</t>
        </is>
      </c>
      <c r="F23" s="59">
        <v>0.15</v>
      </c>
      <c r="G23" s="59">
        <v>0.9</v>
      </c>
      <c r="H23" s="59">
        <v>0.5</v>
      </c>
      <c r="I23" s="59">
        <v>3.0</v>
      </c>
      <c r="J23" s="59">
        <v>1</v>
      </c>
      <c r="K23" s="59">
        <v>2</v>
      </c>
      <c r="L23" s="59">
        <v>0</v>
      </c>
      <c r="M23" s="59">
        <v>0</v>
      </c>
      <c r="N23" s="59">
        <v>83800</v>
      </c>
      <c r="O23" s="59">
        <v>2500</v>
      </c>
      <c r="P23" s="59">
        <f>J23*(N23*F23+O23*G23)/1000000</f>
        <v>0.01482</v>
      </c>
      <c r="Q23" s="59">
        <f>K23*(N23*H23+O23*I23)/1000000</f>
        <v>0.0988</v>
      </c>
      <c r="R23" s="59">
        <f>P23+Q23+IF(A23="scenario_assist_price",$Q$3*($K$3*$F$15+$N$3*$G$15)/1000000,0)</f>
        <v>0.131092</v>
      </c>
      <c r="S23" s="59">
        <f>P23*IF(D23="OpenRouter",$E$3,$H$3)+Q23*IF(E23="OpenRouter",$E$3,$H$3)+IF(A23="scenario_assist_price",$Q$3*($K$3*$F$15+$N$3*$G$15)/1000000*$E$3,0)</f>
        <v>13.837352334</v>
      </c>
      <c r="T23" s="60">
        <f>ROUNDUP(S23/($B$4*(1-$N$4)),0)</f>
        <v>45</v>
      </c>
      <c r="U23" s="59">
        <f>1-S23/(T23*$B$4)</f>
        <v>0.07131832366386692</v>
      </c>
      <c r="V23" s="59">
        <v>0</v>
      </c>
      <c r="W23" s="59">
        <v>0</v>
      </c>
      <c r="X23" s="59">
        <v>0</v>
      </c>
      <c r="Y23" s="63" t="inlineStr">
        <is>
          <t xml:space="preserve">TEMPORARY 7% Scenario margin policy — owner-approved 2026-08-14; review before launch. Kie primary + two OpenRouter pre-token attempts + conspect overhead</t>
        </is>
      </c>
    </row>
    <row r="25">
      <c r="A25" s="59" t="inlineStr">
        <is>
          <t>scenario_assist_price</t>
        </is>
      </c>
      <c r="B25" s="59" t="inlineStr">
        <is>
          <t>max/project</t>
        </is>
      </c>
      <c r="C25" s="59" t="inlineStr">
        <is>
          <t>anthropic/claude-sonnet-5</t>
        </is>
      </c>
      <c r="D25" s="59" t="inlineStr">
        <is>
          <t>Kie</t>
        </is>
      </c>
      <c r="E25" s="59" t="inlineStr">
        <is>
          <t>OpenRouter</t>
        </is>
      </c>
      <c r="F25" s="59">
        <v>0.85</v>
      </c>
      <c r="G25" s="59">
        <v>4.275</v>
      </c>
      <c r="H25" s="59">
        <v>2.0</v>
      </c>
      <c r="I25" s="59">
        <v>10.0</v>
      </c>
      <c r="J25" s="59">
        <v>1</v>
      </c>
      <c r="K25" s="59">
        <v>2</v>
      </c>
      <c r="L25" s="59">
        <v>0</v>
      </c>
      <c r="M25" s="59">
        <v>0</v>
      </c>
      <c r="N25" s="59">
        <v>24000</v>
      </c>
      <c r="O25" s="59">
        <v>2000</v>
      </c>
      <c r="P25" s="59">
        <f>J25*(N25*F25+O25*G25)/1000000</f>
        <v>0.02895</v>
      </c>
      <c r="Q25" s="59">
        <f>K25*(N25*H25+O25*I25)/1000000</f>
        <v>0.136</v>
      </c>
      <c r="R25" s="59">
        <f>P25+Q25+IF(A25="scenario_assist_price",$Q$3*($K$3*$F$15+$N$3*$G$15)/1000000,0)</f>
        <v>0.18242200000000003</v>
      </c>
      <c r="S25" s="59">
        <f>P25*IF(D25="OpenRouter",$E$3,$H$3)+Q25*IF(E25="OpenRouter",$E$3,$H$3)+IF(A25="scenario_assist_price",$Q$3*($K$3*$F$15+$N$3*$G$15)/1000000*$E$3,0)</f>
        <v>19.209245829000004</v>
      </c>
      <c r="T25" s="60">
        <f>ROUNDUP(S25/($B$4*(1-$N$4)),0)</f>
        <v>63</v>
      </c>
      <c r="U25" s="59">
        <f>1-S25/(T25*$B$4)</f>
        <v>0.07913459851113058</v>
      </c>
      <c r="V25" s="59">
        <v>0</v>
      </c>
      <c r="W25" s="59">
        <v>0</v>
      </c>
      <c r="X25" s="59">
        <v>0</v>
      </c>
      <c r="Y25" s="63" t="inlineStr">
        <is>
          <t xml:space="preserve">TEMPORARY 7% Scenario margin policy — owner-approved 2026-08-14; review before launch. Kie primary + two OpenRouter pre-token attempts + conspect overhead</t>
        </is>
      </c>
    </row>
    <row r="26">
      <c r="A26" s="59" t="inlineStr">
        <is>
          <t>scenario_assist_price</t>
        </is>
      </c>
      <c r="B26" s="59" t="inlineStr">
        <is>
          <t>max/span</t>
        </is>
      </c>
      <c r="C26" s="59" t="inlineStr">
        <is>
          <t>anthropic/claude-sonnet-5</t>
        </is>
      </c>
      <c r="D26" s="59" t="inlineStr">
        <is>
          <t>Kie</t>
        </is>
      </c>
      <c r="E26" s="59" t="inlineStr">
        <is>
          <t>OpenRouter</t>
        </is>
      </c>
      <c r="F26" s="59">
        <v>0.85</v>
      </c>
      <c r="G26" s="59">
        <v>4.275</v>
      </c>
      <c r="H26" s="59">
        <v>2.0</v>
      </c>
      <c r="I26" s="59">
        <v>10.0</v>
      </c>
      <c r="J26" s="59">
        <v>1</v>
      </c>
      <c r="K26" s="59">
        <v>2</v>
      </c>
      <c r="L26" s="59">
        <v>0</v>
      </c>
      <c r="M26" s="59">
        <v>0</v>
      </c>
      <c r="N26" s="59">
        <v>22400</v>
      </c>
      <c r="O26" s="59">
        <v>1500</v>
      </c>
      <c r="P26" s="59">
        <f>J26*(N26*F26+O26*G26)/1000000</f>
        <v>0.0254525</v>
      </c>
      <c r="Q26" s="59">
        <f>K26*(N26*H26+O26*I26)/1000000</f>
        <v>0.1196</v>
      </c>
      <c r="R26" s="59">
        <f>P26+Q26+IF(A26="scenario_assist_price",$Q$3*($K$3*$F$15+$N$3*$G$15)/1000000,0)</f>
        <v>0.16252450000000002</v>
      </c>
      <c r="S26" s="59">
        <f>P26*IF(D26="OpenRouter",$E$3,$H$3)+Q26*IF(E26="OpenRouter",$E$3,$H$3)+IF(A26="scenario_assist_price",$Q$3*($K$3*$F$15+$N$3*$G$15)/1000000*$E$3,0)</f>
        <v>17.11590235775</v>
      </c>
      <c r="T26" s="60">
        <f>ROUNDUP(S26/($B$4*(1-$N$4)),0)</f>
        <v>56</v>
      </c>
      <c r="U26" s="59">
        <f>1-S26/(T26*$B$4)</f>
        <v>0.07692250172525228</v>
      </c>
      <c r="V26" s="59">
        <v>0</v>
      </c>
      <c r="W26" s="59">
        <v>0</v>
      </c>
      <c r="X26" s="59">
        <v>0</v>
      </c>
      <c r="Y26" s="63" t="inlineStr">
        <is>
          <t xml:space="preserve">TEMPORARY 7% Scenario margin policy — owner-approved 2026-08-14; review before launch. Kie primary + two OpenRouter pre-token attempts + conspect overhead</t>
        </is>
      </c>
    </row>
    <row r="27">
      <c r="A27" s="59" t="inlineStr">
        <is>
          <t>scenario_assist_price</t>
        </is>
      </c>
      <c r="B27" s="59" t="inlineStr">
        <is>
          <t>max/scene</t>
        </is>
      </c>
      <c r="C27" s="59" t="inlineStr">
        <is>
          <t>anthropic/claude-sonnet-5</t>
        </is>
      </c>
      <c r="D27" s="59" t="inlineStr">
        <is>
          <t>Kie</t>
        </is>
      </c>
      <c r="E27" s="59" t="inlineStr">
        <is>
          <t>OpenRouter</t>
        </is>
      </c>
      <c r="F27" s="59">
        <v>0.85</v>
      </c>
      <c r="G27" s="59">
        <v>4.275</v>
      </c>
      <c r="H27" s="59">
        <v>2.0</v>
      </c>
      <c r="I27" s="59">
        <v>10.0</v>
      </c>
      <c r="J27" s="59">
        <v>1</v>
      </c>
      <c r="K27" s="59">
        <v>2</v>
      </c>
      <c r="L27" s="59">
        <v>0</v>
      </c>
      <c r="M27" s="59">
        <v>0</v>
      </c>
      <c r="N27" s="59">
        <v>28000</v>
      </c>
      <c r="O27" s="59">
        <v>2000</v>
      </c>
      <c r="P27" s="59">
        <f>J27*(N27*F27+O27*G27)/1000000</f>
        <v>0.03235</v>
      </c>
      <c r="Q27" s="59">
        <f>K27*(N27*H27+O27*I27)/1000000</f>
        <v>0.152</v>
      </c>
      <c r="R27" s="59">
        <f>P27+Q27+IF(A27="scenario_assist_price",$Q$3*($K$3*$F$15+$N$3*$G$15)/1000000,0)</f>
        <v>0.201822</v>
      </c>
      <c r="S27" s="59">
        <f>P27*IF(D27="OpenRouter",$E$3,$H$3)+Q27*IF(E27="OpenRouter",$E$3,$H$3)+IF(A27="scenario_assist_price",$Q$3*($K$3*$F$15+$N$3*$G$15)/1000000*$E$3,0)</f>
        <v>21.250304929000002</v>
      </c>
      <c r="T27" s="60">
        <f>ROUNDUP(S27/($B$4*(1-$N$4)),0)</f>
        <v>70</v>
      </c>
      <c r="U27" s="59">
        <f>1-S27/(T27*$B$4)</f>
        <v>0.08316007411411874</v>
      </c>
      <c r="V27" s="59">
        <v>0</v>
      </c>
      <c r="W27" s="59">
        <v>0</v>
      </c>
      <c r="X27" s="59">
        <v>0</v>
      </c>
      <c r="Y27" s="63" t="inlineStr">
        <is>
          <t xml:space="preserve">TEMPORARY 7% Scenario margin policy — owner-approved 2026-08-14; review before launch. Kie primary + two OpenRouter pre-token attempts + conspect overhead</t>
        </is>
      </c>
    </row>
    <row r="28">
      <c r="A28" s="59" t="inlineStr">
        <is>
          <t>scenario_assist_price</t>
        </is>
      </c>
      <c r="B28" s="59" t="inlineStr">
        <is>
          <t>max/script</t>
        </is>
      </c>
      <c r="C28" s="59" t="inlineStr">
        <is>
          <t>anthropic/claude-sonnet-5</t>
        </is>
      </c>
      <c r="D28" s="59" t="inlineStr">
        <is>
          <t>Kie</t>
        </is>
      </c>
      <c r="E28" s="59" t="inlineStr">
        <is>
          <t>OpenRouter</t>
        </is>
      </c>
      <c r="F28" s="59">
        <v>0.85</v>
      </c>
      <c r="G28" s="59">
        <v>4.275</v>
      </c>
      <c r="H28" s="59">
        <v>2.0</v>
      </c>
      <c r="I28" s="59">
        <v>10.0</v>
      </c>
      <c r="J28" s="59">
        <v>1</v>
      </c>
      <c r="K28" s="59">
        <v>2</v>
      </c>
      <c r="L28" s="59">
        <v>0</v>
      </c>
      <c r="M28" s="59">
        <v>0</v>
      </c>
      <c r="N28" s="59">
        <v>83800</v>
      </c>
      <c r="O28" s="59">
        <v>2500</v>
      </c>
      <c r="P28" s="59">
        <f>J28*(N28*F28+O28*G28)/1000000</f>
        <v>0.0819175</v>
      </c>
      <c r="Q28" s="59">
        <f>K28*(N28*H28+O28*I28)/1000000</f>
        <v>0.3852</v>
      </c>
      <c r="R28" s="59">
        <f>P28+Q28+IF(A28="scenario_assist_price",$Q$3*($K$3*$F$15+$N$3*$G$15)/1000000,0)</f>
        <v>0.48458949999999995</v>
      </c>
      <c r="S28" s="59">
        <f>P28*IF(D28="OpenRouter",$E$3,$H$3)+Q28*IF(E28="OpenRouter",$E$3,$H$3)+IF(A28="scenario_assist_price",$Q$3*($K$3*$F$15+$N$3*$G$15)/1000000*$E$3,0)</f>
        <v>50.999999205250006</v>
      </c>
      <c r="T28" s="60">
        <f>ROUNDUP(S28/($B$4*(1-$N$4)),0)</f>
        <v>166</v>
      </c>
      <c r="U28" s="59">
        <f>1-S28/(T28*$B$4)</f>
        <v>0.07212713901078471</v>
      </c>
      <c r="V28" s="59">
        <v>0</v>
      </c>
      <c r="W28" s="59">
        <v>0</v>
      </c>
      <c r="X28" s="59">
        <v>0</v>
      </c>
      <c r="Y28" s="63" t="inlineStr">
        <is>
          <t xml:space="preserve">TEMPORARY 7% Scenario margin policy — owner-approved 2026-08-14; review before launch. Kie primary + two OpenRouter pre-token attempts + conspect overhead</t>
        </is>
      </c>
    </row>
    <row r="30">
      <c r="A30" s="59" t="inlineStr">
        <is>
          <t>scenario_structurize</t>
        </is>
      </c>
      <c r="B30" s="59" t="inlineStr">
        <is>
          <t>economy</t>
        </is>
      </c>
      <c r="C30" s="59" t="inlineStr">
        <is>
          <t>deepseek/deepseek-v4-flash</t>
        </is>
      </c>
      <c r="D30" s="59" t="inlineStr">
        <is>
          <t>OpenRouter</t>
        </is>
      </c>
      <c r="E30" s="59" t="inlineStr">
        <is>
          <t>—</t>
        </is>
      </c>
      <c r="F30" s="59">
        <v>0.09</v>
      </c>
      <c r="G30" s="59">
        <v>0.18</v>
      </c>
      <c r="H30" s="59">
        <v>0</v>
      </c>
      <c r="I30" s="59">
        <v>0</v>
      </c>
      <c r="J30" s="59">
        <v>2</v>
      </c>
      <c r="K30" s="59">
        <v>0</v>
      </c>
      <c r="L30" s="59">
        <v>0</v>
      </c>
      <c r="M30" s="59">
        <v>0</v>
      </c>
      <c r="N30" s="59">
        <v>40000</v>
      </c>
      <c r="O30" s="59">
        <v>4000</v>
      </c>
      <c r="P30" s="59">
        <f>J30*(N30*F30+O30*G30)/1000000</f>
        <v>0.00864</v>
      </c>
      <c r="Q30" s="59">
        <f>K30*(N30*H30+O30*I30)/1000000</f>
        <v>0.0</v>
      </c>
      <c r="R30" s="59">
        <f>P30+Q30+IF(A30="scenario_assist_price",$Q$3*($K$3*$F$15+$N$3*$G$15)/1000000,0)</f>
        <v>0.00864</v>
      </c>
      <c r="S30" s="59">
        <f>P30*IF(D30="OpenRouter",$E$3,$H$3)+Q30*IF(E30="OpenRouter",$E$3,$H$3)+IF(A30="scenario_assist_price",$Q$3*($K$3*$F$15+$N$3*$G$15)/1000000*$E$3,0)</f>
        <v>0.9174124800000001</v>
      </c>
      <c r="T30" s="60">
        <f>ROUNDUP(S30/($B$4*(1-$N$4)),0)</f>
        <v>3</v>
      </c>
      <c r="U30" s="59">
        <f>1-S30/(T30*$B$4)</f>
        <v>0.07643007933895274</v>
      </c>
      <c r="V30" s="59">
        <v>0</v>
      </c>
      <c r="W30" s="59">
        <v>0</v>
      </c>
      <c r="X30" s="59">
        <v>0</v>
      </c>
      <c r="Y30" s="63" t="inlineStr">
        <is>
          <t xml:space="preserve">TEMPORARY 7% Scenario margin policy — owner-approved 2026-08-14; review before launch. OpenRouter catalog; two schema attempts priced</t>
        </is>
      </c>
    </row>
    <row r="31">
      <c r="A31" s="59" t="inlineStr">
        <is>
          <t>scenario_candidate</t>
        </is>
      </c>
      <c r="B31" s="59" t="inlineStr">
        <is>
          <t>candidate</t>
        </is>
      </c>
      <c r="C31" s="59" t="inlineStr">
        <is>
          <t>google/gemini-2.5-flash</t>
        </is>
      </c>
      <c r="D31" s="59" t="inlineStr">
        <is>
          <t>OpenRouter</t>
        </is>
      </c>
      <c r="E31" s="59" t="inlineStr">
        <is>
          <t>—</t>
        </is>
      </c>
      <c r="F31" s="59">
        <v>0.3</v>
      </c>
      <c r="G31" s="59">
        <v>2.5</v>
      </c>
      <c r="H31" s="59">
        <v>0</v>
      </c>
      <c r="I31" s="59">
        <v>0</v>
      </c>
      <c r="J31" s="59">
        <v>1</v>
      </c>
      <c r="K31" s="59">
        <v>0</v>
      </c>
      <c r="L31" s="59">
        <v>0</v>
      </c>
      <c r="M31" s="59">
        <v>0</v>
      </c>
      <c r="N31" s="59">
        <v>0</v>
      </c>
      <c r="O31" s="59">
        <v>0</v>
      </c>
      <c r="V31" s="59">
        <v>0</v>
      </c>
      <c r="W31" s="59">
        <v>0</v>
      </c>
      <c r="X31" s="59">
        <v>0</v>
      </c>
      <c r="Y31" s="63" t="inlineStr">
        <is>
          <t>OpenRouter catalog; evaluated candidate, not active</t>
        </is>
      </c>
    </row>
    <row r="33">
      <c r="A33" s="59" t="inlineStr">
        <is>
          <t>boards_shot_plan</t>
        </is>
      </c>
      <c r="B33" s="59" t="inlineStr">
        <is>
          <t>default</t>
        </is>
      </c>
      <c r="C33" s="59" t="inlineStr">
        <is>
          <t>google/gemini-3-flash-preview</t>
        </is>
      </c>
      <c r="D33" s="59" t="inlineStr">
        <is>
          <t>OpenRouter</t>
        </is>
      </c>
      <c r="E33" s="59" t="inlineStr">
        <is>
          <t>—</t>
        </is>
      </c>
      <c r="F33" s="59">
        <v>0.5</v>
      </c>
      <c r="G33" s="59">
        <v>3.0</v>
      </c>
      <c r="H33" s="59">
        <v>0</v>
      </c>
      <c r="I33" s="59">
        <v>0</v>
      </c>
      <c r="J33" s="59">
        <v>2</v>
      </c>
      <c r="K33" s="59">
        <v>0</v>
      </c>
      <c r="L33" s="59">
        <v>0</v>
      </c>
      <c r="M33" s="59">
        <v>0</v>
      </c>
      <c r="N33" s="59">
        <v>24000</v>
      </c>
      <c r="O33" s="59">
        <v>4500</v>
      </c>
      <c r="P33" s="59">
        <f>J33*(N33*F33+O33*G33)/1000000</f>
        <v>0.051</v>
      </c>
      <c r="Q33" s="59">
        <f>K33*(N33*H33+O33*I33)/1000000</f>
        <v>0.0</v>
      </c>
      <c r="R33" s="59">
        <f>P33+Q33+IF(A33="scenario_assist_price",$Q$3*($K$3*$F$15+$N$3*$G$15)/1000000,0)</f>
        <v>0.051</v>
      </c>
      <c r="S33" s="59">
        <f>P33*IF(D33="OpenRouter",$E$3,$H$3)+Q33*IF(E33="OpenRouter",$E$3,$H$3)+IF(A33="scenario_assist_price",$Q$3*($K$3*$F$15+$N$3*$G$15)/1000000*$E$3,0)</f>
        <v>5.4152819999999995</v>
      </c>
      <c r="T33" s="60">
        <f>ROUNDUP(S33/($B$4*(1-$E$4)),0)</f>
        <v>22</v>
      </c>
      <c r="U33" s="59">
        <f>1-S33/(T33*$B$4)</f>
        <v>0.25659618128608896</v>
      </c>
      <c r="V33" s="59">
        <v>0</v>
      </c>
      <c r="W33" s="59">
        <v>0</v>
      </c>
      <c r="X33" s="59">
        <v>0</v>
      </c>
      <c r="Y33" s="63" t="inlineStr">
        <is>
          <t>OpenRouter; reserve ceiling covers two schema attempts</t>
        </is>
      </c>
    </row>
    <row r="34">
      <c r="A34" s="59" t="inlineStr">
        <is>
          <t>boards_scene_objects</t>
        </is>
      </c>
      <c r="B34" s="59" t="inlineStr">
        <is>
          <t>default</t>
        </is>
      </c>
      <c r="C34" s="59" t="inlineStr">
        <is>
          <t>deepseek/deepseek-v4-flash</t>
        </is>
      </c>
      <c r="D34" s="59" t="inlineStr">
        <is>
          <t>OpenRouter</t>
        </is>
      </c>
      <c r="E34" s="59" t="inlineStr">
        <is>
          <t>—</t>
        </is>
      </c>
      <c r="F34" s="59">
        <v>0.09</v>
      </c>
      <c r="G34" s="59">
        <v>0.18</v>
      </c>
      <c r="H34" s="59">
        <v>0</v>
      </c>
      <c r="I34" s="59">
        <v>0</v>
      </c>
      <c r="J34" s="59">
        <v>1</v>
      </c>
      <c r="K34" s="59">
        <v>0</v>
      </c>
      <c r="L34" s="59">
        <v>0</v>
      </c>
      <c r="M34" s="59">
        <v>0</v>
      </c>
      <c r="N34" s="59">
        <v>68000</v>
      </c>
      <c r="O34" s="59">
        <v>800</v>
      </c>
      <c r="P34" s="59">
        <f>J34*(N34*F34+O34*G34)/1000000</f>
        <v>0.006264</v>
      </c>
      <c r="Q34" s="59">
        <f>K34*(N34*H34+O34*I34)/1000000</f>
        <v>0.0</v>
      </c>
      <c r="R34" s="59">
        <f>P34+Q34+IF(A34="scenario_assist_price",$Q$3*($K$3*$F$15+$N$3*$G$15)/1000000,0)</f>
        <v>0.006264</v>
      </c>
      <c r="S34" s="59">
        <f>P34*IF(D34="OpenRouter",$E$3,$H$3)+Q34*IF(E34="OpenRouter",$E$3,$H$3)+IF(A34="scenario_assist_price",$Q$3*($K$3*$F$15+$N$3*$G$15)/1000000*$E$3,0)</f>
        <v>0.665124048</v>
      </c>
      <c r="T34" s="60">
        <f>ROUNDUP(S34/($B$4*(1-$E$4)),0)</f>
        <v>3</v>
      </c>
      <c r="U34" s="59">
        <f>1-S34/(T34*$B$4)</f>
        <v>0.33041180752074073</v>
      </c>
      <c r="V34" s="59">
        <v>0</v>
      </c>
      <c r="W34" s="59">
        <v>0</v>
      </c>
      <c r="X34" s="59">
        <v>0</v>
      </c>
      <c r="Y34" s="63" t="inlineStr">
        <is>
          <t>OpenRouter; free user policy, COGS ceiling still signed</t>
        </is>
      </c>
    </row>
    <row r="35">
      <c r="A35" s="59" t="inlineStr">
        <is>
          <t>disabled_prompt_enhancer</t>
        </is>
      </c>
      <c r="B35" s="59" t="inlineStr">
        <is>
          <t>generate</t>
        </is>
      </c>
      <c r="C35" s="59" t="inlineStr">
        <is>
          <t>openai/gpt-4o-mini</t>
        </is>
      </c>
      <c r="D35" s="59" t="inlineStr">
        <is>
          <t>OpenRouter</t>
        </is>
      </c>
      <c r="E35" s="59" t="inlineStr">
        <is>
          <t>—</t>
        </is>
      </c>
      <c r="F35" s="59">
        <v>0.15</v>
      </c>
      <c r="G35" s="59">
        <v>0.6</v>
      </c>
      <c r="H35" s="59">
        <v>0</v>
      </c>
      <c r="I35" s="59">
        <v>0</v>
      </c>
      <c r="J35" s="59">
        <v>1</v>
      </c>
      <c r="K35" s="59">
        <v>0</v>
      </c>
      <c r="L35" s="59">
        <v>0</v>
      </c>
      <c r="M35" s="59">
        <v>0</v>
      </c>
      <c r="N35" s="59">
        <v>0</v>
      </c>
      <c r="O35" s="59">
        <v>0</v>
      </c>
      <c r="V35" s="59">
        <v>0</v>
      </c>
      <c r="W35" s="59">
        <v>0</v>
      </c>
      <c r="X35" s="59">
        <v>0</v>
      </c>
      <c r="Y35" s="63" t="inlineStr">
        <is>
          <t>Disabled feature flag; rate recorded for inventory, not billed</t>
        </is>
      </c>
    </row>
    <row r="36">
      <c r="A36" s="59" t="inlineStr">
        <is>
          <t>scenario_material_compaction</t>
        </is>
      </c>
      <c r="B36" s="59" t="inlineStr">
        <is>
          <t>background</t>
        </is>
      </c>
      <c r="C36" s="59" t="inlineStr">
        <is>
          <t>qwen/qwen3.5-plus-02-15</t>
        </is>
      </c>
      <c r="D36" s="59" t="inlineStr">
        <is>
          <t>OpenRouter</t>
        </is>
      </c>
      <c r="E36" s="59" t="inlineStr">
        <is>
          <t>—</t>
        </is>
      </c>
      <c r="F36" s="59">
        <v>0.26</v>
      </c>
      <c r="G36" s="59">
        <v>1.56</v>
      </c>
      <c r="H36" s="59">
        <v>0</v>
      </c>
      <c r="I36" s="59">
        <v>0</v>
      </c>
      <c r="J36" s="59">
        <v>2</v>
      </c>
      <c r="K36" s="59">
        <v>0</v>
      </c>
      <c r="L36" s="59">
        <v>0</v>
      </c>
      <c r="M36" s="59">
        <v>0</v>
      </c>
      <c r="N36" s="59">
        <v>72000</v>
      </c>
      <c r="O36" s="59">
        <v>700</v>
      </c>
      <c r="P36" s="59">
        <f>J36*(N36*F36+O36*G36)/1000000</f>
        <v>0.039624</v>
      </c>
      <c r="Q36" s="59">
        <f>K36*(N36*H36+O36*I36)/1000000</f>
        <v>0.0</v>
      </c>
      <c r="R36" s="59">
        <f>P36+Q36+IF(A36="scenario_assist_price",$Q$3*($K$3*$F$15+$N$3*$G$15)/1000000,0)</f>
        <v>0.039624</v>
      </c>
      <c r="S36" s="59">
        <f>P36*IF(D36="OpenRouter",$E$3,$H$3)+Q36*IF(E36="OpenRouter",$E$3,$H$3)+IF(A36="scenario_assist_price",$Q$3*($K$3*$F$15+$N$3*$G$15)/1000000*$E$3,0)</f>
        <v>4.207355568</v>
      </c>
      <c r="T36" s="60">
        <f>ROUNDUP(S36/($B$4*(1-$E$4)),0)</f>
        <v>17</v>
      </c>
      <c r="U36" s="59">
        <f>1-S36/(T36*$B$4)</f>
        <v>0.2525421867591231</v>
      </c>
      <c r="V36" s="59">
        <v>0</v>
      </c>
      <c r="W36" s="59">
        <v>0</v>
      </c>
      <c r="X36" s="59">
        <v>0</v>
      </c>
      <c r="Y36" s="63" t="inlineStr">
        <is>
          <t>Free background policy; two OpenRouter attempts and bounded raw material</t>
        </is>
      </c>
    </row>
    <row r="37">
      <c r="A37" s="59" t="inlineStr">
        <is>
          <t xml:space="preserve">scenario_assist_band</t>
        </is>
      </c>
      <c r="B37" s="59" t="inlineStr">
        <is>
          <t xml:space="preserve">economy/project/8k/no-conspect</t>
        </is>
      </c>
      <c r="C37" s="59" t="inlineStr">
        <is>
          <t xml:space="preserve">qwen/qwen3.5-plus-02-15</t>
        </is>
      </c>
      <c r="D37" s="59" t="inlineStr">
        <is>
          <t xml:space="preserve">OpenRouter</t>
        </is>
      </c>
      <c r="E37" s="59" t="inlineStr">
        <is>
          <t xml:space="preserve">—</t>
        </is>
      </c>
      <c r="F37" s="59">
        <v>0.26</v>
      </c>
      <c r="G37" s="59">
        <v>1.56</v>
      </c>
      <c r="H37" s="59">
        <v>0.0</v>
      </c>
      <c r="I37" s="59">
        <v>0.0</v>
      </c>
      <c r="J37" s="59">
        <v>2</v>
      </c>
      <c r="K37" s="59">
        <v>0</v>
      </c>
      <c r="L37" s="59">
        <v>4800</v>
      </c>
      <c r="M37" s="59">
        <v>1200</v>
      </c>
      <c r="N37" s="59">
        <v>8000</v>
      </c>
      <c r="O37" s="59">
        <v>2000</v>
      </c>
      <c r="P37" s="59">
        <f>J37*(N37*F37+O37*G37)/1000000</f>
        <v>0.0104</v>
      </c>
      <c r="Q37" s="59">
        <f>K37*(N37*H37+O37*I37)/1000000</f>
        <v>0.0</v>
      </c>
      <c r="R37" s="59">
        <f>P37+Q37+0</f>
        <v>0.0104</v>
      </c>
      <c r="S37" s="59">
        <f>P37*IF(D37="OpenRouter",$E$3,$H$3)+Q37*IF(E37="OpenRouter",$E$3,$H$3)+0*$E$3</f>
        <v>1.1042928</v>
      </c>
      <c r="T37" s="60">
        <f>ROUNDUP(S37/($B$4*(1-$Q$4)),0)</f>
        <v>5</v>
      </c>
      <c r="U37" s="59">
        <f>1-S37/(T37*$B$4)</f>
        <v>0.33297727952257694</v>
      </c>
      <c r="V37" s="59">
        <v>0</v>
      </c>
      <c r="W37" s="59">
        <v>0</v>
      </c>
      <c r="X37" s="59">
        <v>3</v>
      </c>
      <c r="Y37" s="63" t="inlineStr">
        <is>
          <t xml:space="preserve">ACTIVE 25% Scenario band; uncached worst-route; conditional conspect; no user content. economy/project/8k/no-conspect</t>
        </is>
      </c>
      <c r="Z37" s="59">
        <v>1.0</v>
      </c>
      <c r="AA37" s="59">
        <v>1.0</v>
      </c>
      <c r="AB37" s="59" t="inlineStr">
        <is>
          <t xml:space="preserve">none</t>
        </is>
      </c>
      <c r="AC37" s="59">
        <v>0</v>
      </c>
      <c r="AD37" s="59" t="inlineStr">
        <is>
          <t xml:space="preserve">unverified_disabled</t>
        </is>
      </c>
      <c r="AE37" s="63" t="inlineStr">
        <is>
          <t xml:space="preserve">OWNER-GATED PROBE; 2026-08-15</t>
        </is>
      </c>
    </row>
    <row r="38">
      <c r="A38" s="59" t="inlineStr">
        <is>
          <t xml:space="preserve">scenario_assist_band</t>
        </is>
      </c>
      <c r="B38" s="59" t="inlineStr">
        <is>
          <t xml:space="preserve">economy/project/8k/conspect</t>
        </is>
      </c>
      <c r="C38" s="59" t="inlineStr">
        <is>
          <t xml:space="preserve">qwen/qwen3.5-plus-02-15</t>
        </is>
      </c>
      <c r="D38" s="59" t="inlineStr">
        <is>
          <t xml:space="preserve">OpenRouter</t>
        </is>
      </c>
      <c r="E38" s="59" t="inlineStr">
        <is>
          <t xml:space="preserve">—</t>
        </is>
      </c>
      <c r="F38" s="59">
        <v>0.26</v>
      </c>
      <c r="G38" s="59">
        <v>1.56</v>
      </c>
      <c r="H38" s="59">
        <v>0.0</v>
      </c>
      <c r="I38" s="59">
        <v>0.0</v>
      </c>
      <c r="J38" s="59">
        <v>2</v>
      </c>
      <c r="K38" s="59">
        <v>0</v>
      </c>
      <c r="L38" s="59">
        <v>4800</v>
      </c>
      <c r="M38" s="59">
        <v>1200</v>
      </c>
      <c r="N38" s="59">
        <v>8000</v>
      </c>
      <c r="O38" s="59">
        <v>2000</v>
      </c>
      <c r="P38" s="59">
        <f>J38*(N38*F38+O38*G38)/1000000</f>
        <v>0.0104</v>
      </c>
      <c r="Q38" s="59">
        <f>K38*(N38*H38+O38*I38)/1000000</f>
        <v>0.0</v>
      </c>
      <c r="R38" s="59">
        <f>P38+Q38+IF("conspect"="conspect",$Q$3*($K$3*0.26+$N$3*1.56)/1000000,0)</f>
        <v>0.027872</v>
      </c>
      <c r="S38" s="59">
        <f>P38*IF(D38="OpenRouter",$E$3,$H$3)+Q38*IF(E38="OpenRouter",$E$3,$H$3)+IF("conspect"="conspect",$Q$3*($K$3*0.26+$N$3*1.56)/1000000,0)*$E$3</f>
        <v>2.9595047040000004</v>
      </c>
      <c r="T38" s="60">
        <f>ROUNDUP(S38/($B$4*(1-$Q$4)),0)</f>
        <v>12</v>
      </c>
      <c r="U38" s="59">
        <f>1-S38/(T38*$B$4)</f>
        <v>0.25515796213354425</v>
      </c>
      <c r="V38" s="59">
        <v>0</v>
      </c>
      <c r="W38" s="59">
        <v>0</v>
      </c>
      <c r="X38" s="59">
        <v>3</v>
      </c>
      <c r="Y38" s="63" t="inlineStr">
        <is>
          <t xml:space="preserve">ACTIVE 25% Scenario band; uncached worst-route; conditional conspect; no user content. economy/project/8k/conspect</t>
        </is>
      </c>
      <c r="Z38" s="59">
        <v>1.0</v>
      </c>
      <c r="AA38" s="59">
        <v>1.0</v>
      </c>
      <c r="AB38" s="59" t="inlineStr">
        <is>
          <t xml:space="preserve">none</t>
        </is>
      </c>
      <c r="AC38" s="59">
        <v>0</v>
      </c>
      <c r="AD38" s="59" t="inlineStr">
        <is>
          <t xml:space="preserve">unverified_disabled</t>
        </is>
      </c>
      <c r="AE38" s="63" t="inlineStr">
        <is>
          <t xml:space="preserve">OWNER-GATED PROBE; 2026-08-15</t>
        </is>
      </c>
    </row>
    <row r="39">
      <c r="A39" s="59" t="inlineStr">
        <is>
          <t xml:space="preserve">scenario_assist_band</t>
        </is>
      </c>
      <c r="B39" s="59" t="inlineStr">
        <is>
          <t xml:space="preserve">economy/project/16k/no-conspect</t>
        </is>
      </c>
      <c r="C39" s="59" t="inlineStr">
        <is>
          <t xml:space="preserve">qwen/qwen3.5-plus-02-15</t>
        </is>
      </c>
      <c r="D39" s="59" t="inlineStr">
        <is>
          <t xml:space="preserve">OpenRouter</t>
        </is>
      </c>
      <c r="E39" s="59" t="inlineStr">
        <is>
          <t xml:space="preserve">—</t>
        </is>
      </c>
      <c r="F39" s="59">
        <v>0.26</v>
      </c>
      <c r="G39" s="59">
        <v>1.56</v>
      </c>
      <c r="H39" s="59">
        <v>0.0</v>
      </c>
      <c r="I39" s="59">
        <v>0.0</v>
      </c>
      <c r="J39" s="59">
        <v>2</v>
      </c>
      <c r="K39" s="59">
        <v>0</v>
      </c>
      <c r="L39" s="59">
        <v>9600</v>
      </c>
      <c r="M39" s="59">
        <v>1200</v>
      </c>
      <c r="N39" s="59">
        <v>16000</v>
      </c>
      <c r="O39" s="59">
        <v>2000</v>
      </c>
      <c r="P39" s="59">
        <f>J39*(N39*F39+O39*G39)/1000000</f>
        <v>0.01456</v>
      </c>
      <c r="Q39" s="59">
        <f>K39*(N39*H39+O39*I39)/1000000</f>
        <v>0.0</v>
      </c>
      <c r="R39" s="59">
        <f>P39+Q39+0</f>
        <v>0.01456</v>
      </c>
      <c r="S39" s="59">
        <f>P39*IF(D39="OpenRouter",$E$3,$H$3)+Q39*IF(E39="OpenRouter",$E$3,$H$3)+0*$E$3</f>
        <v>1.54600992</v>
      </c>
      <c r="T39" s="60">
        <f>ROUNDUP(S39/($B$4*(1-$Q$4)),0)</f>
        <v>7</v>
      </c>
      <c r="U39" s="59">
        <f>1-S39/(T39*$B$4)</f>
        <v>0.33297727952257705</v>
      </c>
      <c r="V39" s="59">
        <v>0</v>
      </c>
      <c r="W39" s="59">
        <v>0</v>
      </c>
      <c r="X39" s="59">
        <v>3</v>
      </c>
      <c r="Y39" s="63" t="inlineStr">
        <is>
          <t xml:space="preserve">ACTIVE 25% Scenario band; uncached worst-route; conditional conspect; no user content. economy/project/16k/no-conspect</t>
        </is>
      </c>
      <c r="Z39" s="59">
        <v>1.0</v>
      </c>
      <c r="AA39" s="59">
        <v>1.0</v>
      </c>
      <c r="AB39" s="59" t="inlineStr">
        <is>
          <t xml:space="preserve">none</t>
        </is>
      </c>
      <c r="AC39" s="59">
        <v>0</v>
      </c>
      <c r="AD39" s="59" t="inlineStr">
        <is>
          <t xml:space="preserve">unverified_disabled</t>
        </is>
      </c>
      <c r="AE39" s="63" t="inlineStr">
        <is>
          <t xml:space="preserve">OWNER-GATED PROBE; 2026-08-15</t>
        </is>
      </c>
    </row>
    <row r="40">
      <c r="A40" s="59" t="inlineStr">
        <is>
          <t xml:space="preserve">scenario_assist_band</t>
        </is>
      </c>
      <c r="B40" s="59" t="inlineStr">
        <is>
          <t xml:space="preserve">economy/project/16k/conspect</t>
        </is>
      </c>
      <c r="C40" s="59" t="inlineStr">
        <is>
          <t xml:space="preserve">qwen/qwen3.5-plus-02-15</t>
        </is>
      </c>
      <c r="D40" s="59" t="inlineStr">
        <is>
          <t xml:space="preserve">OpenRouter</t>
        </is>
      </c>
      <c r="E40" s="59" t="inlineStr">
        <is>
          <t xml:space="preserve">—</t>
        </is>
      </c>
      <c r="F40" s="59">
        <v>0.26</v>
      </c>
      <c r="G40" s="59">
        <v>1.56</v>
      </c>
      <c r="H40" s="59">
        <v>0.0</v>
      </c>
      <c r="I40" s="59">
        <v>0.0</v>
      </c>
      <c r="J40" s="59">
        <v>2</v>
      </c>
      <c r="K40" s="59">
        <v>0</v>
      </c>
      <c r="L40" s="59">
        <v>9600</v>
      </c>
      <c r="M40" s="59">
        <v>1200</v>
      </c>
      <c r="N40" s="59">
        <v>16000</v>
      </c>
      <c r="O40" s="59">
        <v>2000</v>
      </c>
      <c r="P40" s="59">
        <f>J40*(N40*F40+O40*G40)/1000000</f>
        <v>0.01456</v>
      </c>
      <c r="Q40" s="59">
        <f>K40*(N40*H40+O40*I40)/1000000</f>
        <v>0.0</v>
      </c>
      <c r="R40" s="59">
        <f>P40+Q40+IF("conspect"="conspect",$Q$3*($K$3*0.26+$N$3*1.56)/1000000,0)</f>
        <v>0.032032000000000005</v>
      </c>
      <c r="S40" s="59">
        <f>P40*IF(D40="OpenRouter",$E$3,$H$3)+Q40*IF(E40="OpenRouter",$E$3,$H$3)+IF("conspect"="conspect",$Q$3*($K$3*0.26+$N$3*1.56)/1000000,0)*$E$3</f>
        <v>3.4012218240000003</v>
      </c>
      <c r="T40" s="60">
        <f>ROUNDUP(S40/($B$4*(1-$Q$4)),0)</f>
        <v>14</v>
      </c>
      <c r="U40" s="59">
        <f>1-S40/(T40*$B$4)</f>
        <v>0.2662750074748347</v>
      </c>
      <c r="V40" s="59">
        <v>0</v>
      </c>
      <c r="W40" s="59">
        <v>0</v>
      </c>
      <c r="X40" s="59">
        <v>3</v>
      </c>
      <c r="Y40" s="63" t="inlineStr">
        <is>
          <t xml:space="preserve">ACTIVE 25% Scenario band; uncached worst-route; conditional conspect; no user content. economy/project/16k/conspect</t>
        </is>
      </c>
      <c r="Z40" s="59">
        <v>1.0</v>
      </c>
      <c r="AA40" s="59">
        <v>1.0</v>
      </c>
      <c r="AB40" s="59" t="inlineStr">
        <is>
          <t xml:space="preserve">none</t>
        </is>
      </c>
      <c r="AC40" s="59">
        <v>0</v>
      </c>
      <c r="AD40" s="59" t="inlineStr">
        <is>
          <t xml:space="preserve">unverified_disabled</t>
        </is>
      </c>
      <c r="AE40" s="63" t="inlineStr">
        <is>
          <t xml:space="preserve">OWNER-GATED PROBE; 2026-08-15</t>
        </is>
      </c>
    </row>
    <row r="41">
      <c r="A41" s="59" t="inlineStr">
        <is>
          <t xml:space="preserve">scenario_assist_band</t>
        </is>
      </c>
      <c r="B41" s="59" t="inlineStr">
        <is>
          <t xml:space="preserve">economy/project/24k/no-conspect</t>
        </is>
      </c>
      <c r="C41" s="59" t="inlineStr">
        <is>
          <t xml:space="preserve">qwen/qwen3.5-plus-02-15</t>
        </is>
      </c>
      <c r="D41" s="59" t="inlineStr">
        <is>
          <t xml:space="preserve">OpenRouter</t>
        </is>
      </c>
      <c r="E41" s="59" t="inlineStr">
        <is>
          <t xml:space="preserve">—</t>
        </is>
      </c>
      <c r="F41" s="59">
        <v>0.26</v>
      </c>
      <c r="G41" s="59">
        <v>1.56</v>
      </c>
      <c r="H41" s="59">
        <v>0.0</v>
      </c>
      <c r="I41" s="59">
        <v>0.0</v>
      </c>
      <c r="J41" s="59">
        <v>2</v>
      </c>
      <c r="K41" s="59">
        <v>0</v>
      </c>
      <c r="L41" s="59">
        <v>14400</v>
      </c>
      <c r="M41" s="59">
        <v>1200</v>
      </c>
      <c r="N41" s="59">
        <v>24000</v>
      </c>
      <c r="O41" s="59">
        <v>2000</v>
      </c>
      <c r="P41" s="59">
        <f>J41*(N41*F41+O41*G41)/1000000</f>
        <v>0.01872</v>
      </c>
      <c r="Q41" s="59">
        <f>K41*(N41*H41+O41*I41)/1000000</f>
        <v>0.0</v>
      </c>
      <c r="R41" s="59">
        <f>P41+Q41+0</f>
        <v>0.01872</v>
      </c>
      <c r="S41" s="59">
        <f>P41*IF(D41="OpenRouter",$E$3,$H$3)+Q41*IF(E41="OpenRouter",$E$3,$H$3)+0*$E$3</f>
        <v>1.98772704</v>
      </c>
      <c r="T41" s="60">
        <f>ROUNDUP(S41/($B$4*(1-$Q$4)),0)</f>
        <v>9</v>
      </c>
      <c r="U41" s="59">
        <f>1-S41/(T41*$B$4)</f>
        <v>0.33297727952257694</v>
      </c>
      <c r="V41" s="59">
        <v>0</v>
      </c>
      <c r="W41" s="59">
        <v>0</v>
      </c>
      <c r="X41" s="59">
        <v>3</v>
      </c>
      <c r="Y41" s="63" t="inlineStr">
        <is>
          <t xml:space="preserve">ACTIVE 25% Scenario band; uncached worst-route; conditional conspect; no user content. economy/project/24k/no-conspect</t>
        </is>
      </c>
      <c r="Z41" s="59">
        <v>1.0</v>
      </c>
      <c r="AA41" s="59">
        <v>1.0</v>
      </c>
      <c r="AB41" s="59" t="inlineStr">
        <is>
          <t xml:space="preserve">none</t>
        </is>
      </c>
      <c r="AC41" s="59">
        <v>0</v>
      </c>
      <c r="AD41" s="59" t="inlineStr">
        <is>
          <t xml:space="preserve">unverified_disabled</t>
        </is>
      </c>
      <c r="AE41" s="63" t="inlineStr">
        <is>
          <t xml:space="preserve">OWNER-GATED PROBE; 2026-08-15</t>
        </is>
      </c>
    </row>
    <row r="42">
      <c r="A42" s="59" t="inlineStr">
        <is>
          <t xml:space="preserve">scenario_assist_band</t>
        </is>
      </c>
      <c r="B42" s="59" t="inlineStr">
        <is>
          <t xml:space="preserve">economy/project/24k/conspect</t>
        </is>
      </c>
      <c r="C42" s="59" t="inlineStr">
        <is>
          <t xml:space="preserve">qwen/qwen3.5-plus-02-15</t>
        </is>
      </c>
      <c r="D42" s="59" t="inlineStr">
        <is>
          <t xml:space="preserve">OpenRouter</t>
        </is>
      </c>
      <c r="E42" s="59" t="inlineStr">
        <is>
          <t xml:space="preserve">—</t>
        </is>
      </c>
      <c r="F42" s="59">
        <v>0.26</v>
      </c>
      <c r="G42" s="59">
        <v>1.56</v>
      </c>
      <c r="H42" s="59">
        <v>0.0</v>
      </c>
      <c r="I42" s="59">
        <v>0.0</v>
      </c>
      <c r="J42" s="59">
        <v>2</v>
      </c>
      <c r="K42" s="59">
        <v>0</v>
      </c>
      <c r="L42" s="59">
        <v>14400</v>
      </c>
      <c r="M42" s="59">
        <v>1200</v>
      </c>
      <c r="N42" s="59">
        <v>24000</v>
      </c>
      <c r="O42" s="59">
        <v>2000</v>
      </c>
      <c r="P42" s="59">
        <f>J42*(N42*F42+O42*G42)/1000000</f>
        <v>0.01872</v>
      </c>
      <c r="Q42" s="59">
        <f>K42*(N42*H42+O42*I42)/1000000</f>
        <v>0.0</v>
      </c>
      <c r="R42" s="59">
        <f>P42+Q42+IF("conspect"="conspect",$Q$3*($K$3*0.26+$N$3*1.56)/1000000,0)</f>
        <v>0.036192</v>
      </c>
      <c r="S42" s="59">
        <f>P42*IF(D42="OpenRouter",$E$3,$H$3)+Q42*IF(E42="OpenRouter",$E$3,$H$3)+IF("conspect"="conspect",$Q$3*($K$3*0.26+$N$3*1.56)/1000000,0)*$E$3</f>
        <v>3.842938944</v>
      </c>
      <c r="T42" s="60">
        <f>ROUNDUP(S42/($B$4*(1-$Q$4)),0)</f>
        <v>16</v>
      </c>
      <c r="U42" s="59">
        <f>1-S42/(T42*$B$4)</f>
        <v>0.2746127914808024</v>
      </c>
      <c r="V42" s="59">
        <v>0</v>
      </c>
      <c r="W42" s="59">
        <v>0</v>
      </c>
      <c r="X42" s="59">
        <v>3</v>
      </c>
      <c r="Y42" s="63" t="inlineStr">
        <is>
          <t xml:space="preserve">ACTIVE 25% Scenario band; uncached worst-route; conditional conspect; no user content. economy/project/24k/conspect</t>
        </is>
      </c>
      <c r="Z42" s="59">
        <v>1.0</v>
      </c>
      <c r="AA42" s="59">
        <v>1.0</v>
      </c>
      <c r="AB42" s="59" t="inlineStr">
        <is>
          <t xml:space="preserve">none</t>
        </is>
      </c>
      <c r="AC42" s="59">
        <v>0</v>
      </c>
      <c r="AD42" s="59" t="inlineStr">
        <is>
          <t xml:space="preserve">unverified_disabled</t>
        </is>
      </c>
      <c r="AE42" s="63" t="inlineStr">
        <is>
          <t xml:space="preserve">OWNER-GATED PROBE; 2026-08-15</t>
        </is>
      </c>
    </row>
    <row r="43">
      <c r="A43" s="59" t="inlineStr">
        <is>
          <t xml:space="preserve">scenario_assist_band</t>
        </is>
      </c>
      <c r="B43" s="59" t="inlineStr">
        <is>
          <t xml:space="preserve">economy/span/8k/no-conspect</t>
        </is>
      </c>
      <c r="C43" s="59" t="inlineStr">
        <is>
          <t xml:space="preserve">qwen/qwen3.5-plus-02-15</t>
        </is>
      </c>
      <c r="D43" s="59" t="inlineStr">
        <is>
          <t xml:space="preserve">OpenRouter</t>
        </is>
      </c>
      <c r="E43" s="59" t="inlineStr">
        <is>
          <t xml:space="preserve">—</t>
        </is>
      </c>
      <c r="F43" s="59">
        <v>0.26</v>
      </c>
      <c r="G43" s="59">
        <v>1.56</v>
      </c>
      <c r="H43" s="59">
        <v>0.0</v>
      </c>
      <c r="I43" s="59">
        <v>0.0</v>
      </c>
      <c r="J43" s="59">
        <v>2</v>
      </c>
      <c r="K43" s="59">
        <v>0</v>
      </c>
      <c r="L43" s="59">
        <v>4800</v>
      </c>
      <c r="M43" s="59">
        <v>900</v>
      </c>
      <c r="N43" s="59">
        <v>8000</v>
      </c>
      <c r="O43" s="59">
        <v>1500</v>
      </c>
      <c r="P43" s="59">
        <f>J43*(N43*F43+O43*G43)/1000000</f>
        <v>0.00884</v>
      </c>
      <c r="Q43" s="59">
        <f>K43*(N43*H43+O43*I43)/1000000</f>
        <v>0.0</v>
      </c>
      <c r="R43" s="59">
        <f>P43+Q43+0</f>
        <v>0.00884</v>
      </c>
      <c r="S43" s="59">
        <f>P43*IF(D43="OpenRouter",$E$3,$H$3)+Q43*IF(E43="OpenRouter",$E$3,$H$3)+0*$E$3</f>
        <v>0.9386488800000001</v>
      </c>
      <c r="T43" s="60">
        <f>ROUNDUP(S43/($B$4*(1-$Q$4)),0)</f>
        <v>4</v>
      </c>
      <c r="U43" s="59">
        <f>1-S43/(T43*$B$4)</f>
        <v>0.291288359492738</v>
      </c>
      <c r="V43" s="59">
        <v>0</v>
      </c>
      <c r="W43" s="59">
        <v>0</v>
      </c>
      <c r="X43" s="59">
        <v>3</v>
      </c>
      <c r="Y43" s="63" t="inlineStr">
        <is>
          <t xml:space="preserve">ACTIVE 25% Scenario band; uncached worst-route; conditional conspect; no user content. economy/span/8k/no-conspect</t>
        </is>
      </c>
      <c r="Z43" s="59">
        <v>1.0</v>
      </c>
      <c r="AA43" s="59">
        <v>1.0</v>
      </c>
      <c r="AB43" s="59" t="inlineStr">
        <is>
          <t xml:space="preserve">none</t>
        </is>
      </c>
      <c r="AC43" s="59">
        <v>0</v>
      </c>
      <c r="AD43" s="59" t="inlineStr">
        <is>
          <t xml:space="preserve">unverified_disabled</t>
        </is>
      </c>
      <c r="AE43" s="63" t="inlineStr">
        <is>
          <t xml:space="preserve">OWNER-GATED PROBE; 2026-08-15</t>
        </is>
      </c>
    </row>
    <row r="44">
      <c r="A44" s="59" t="inlineStr">
        <is>
          <t xml:space="preserve">scenario_assist_band</t>
        </is>
      </c>
      <c r="B44" s="59" t="inlineStr">
        <is>
          <t xml:space="preserve">economy/span/8k/conspect</t>
        </is>
      </c>
      <c r="C44" s="59" t="inlineStr">
        <is>
          <t xml:space="preserve">qwen/qwen3.5-plus-02-15</t>
        </is>
      </c>
      <c r="D44" s="59" t="inlineStr">
        <is>
          <t xml:space="preserve">OpenRouter</t>
        </is>
      </c>
      <c r="E44" s="59" t="inlineStr">
        <is>
          <t xml:space="preserve">—</t>
        </is>
      </c>
      <c r="F44" s="59">
        <v>0.26</v>
      </c>
      <c r="G44" s="59">
        <v>1.56</v>
      </c>
      <c r="H44" s="59">
        <v>0.0</v>
      </c>
      <c r="I44" s="59">
        <v>0.0</v>
      </c>
      <c r="J44" s="59">
        <v>2</v>
      </c>
      <c r="K44" s="59">
        <v>0</v>
      </c>
      <c r="L44" s="59">
        <v>4800</v>
      </c>
      <c r="M44" s="59">
        <v>900</v>
      </c>
      <c r="N44" s="59">
        <v>8000</v>
      </c>
      <c r="O44" s="59">
        <v>1500</v>
      </c>
      <c r="P44" s="59">
        <f>J44*(N44*F44+O44*G44)/1000000</f>
        <v>0.00884</v>
      </c>
      <c r="Q44" s="59">
        <f>K44*(N44*H44+O44*I44)/1000000</f>
        <v>0.0</v>
      </c>
      <c r="R44" s="59">
        <f>P44+Q44+IF("conspect"="conspect",$Q$3*($K$3*0.26+$N$3*1.56)/1000000,0)</f>
        <v>0.026312000000000002</v>
      </c>
      <c r="S44" s="59">
        <f>P44*IF(D44="OpenRouter",$E$3,$H$3)+Q44*IF(E44="OpenRouter",$E$3,$H$3)+IF("conspect"="conspect",$Q$3*($K$3*0.26+$N$3*1.56)/1000000,0)*$E$3</f>
        <v>2.7938607840000005</v>
      </c>
      <c r="T44" s="60">
        <f>ROUNDUP(S44/($B$4*(1-$Q$4)),0)</f>
        <v>12</v>
      </c>
      <c r="U44" s="59">
        <f>1-S44/(T44*$B$4)</f>
        <v>0.2968468821633832</v>
      </c>
      <c r="V44" s="59">
        <v>0</v>
      </c>
      <c r="W44" s="59">
        <v>0</v>
      </c>
      <c r="X44" s="59">
        <v>3</v>
      </c>
      <c r="Y44" s="63" t="inlineStr">
        <is>
          <t xml:space="preserve">ACTIVE 25% Scenario band; uncached worst-route; conditional conspect; no user content. economy/span/8k/conspect</t>
        </is>
      </c>
      <c r="Z44" s="59">
        <v>1.0</v>
      </c>
      <c r="AA44" s="59">
        <v>1.0</v>
      </c>
      <c r="AB44" s="59" t="inlineStr">
        <is>
          <t xml:space="preserve">none</t>
        </is>
      </c>
      <c r="AC44" s="59">
        <v>0</v>
      </c>
      <c r="AD44" s="59" t="inlineStr">
        <is>
          <t xml:space="preserve">unverified_disabled</t>
        </is>
      </c>
      <c r="AE44" s="63" t="inlineStr">
        <is>
          <t xml:space="preserve">OWNER-GATED PROBE; 2026-08-15</t>
        </is>
      </c>
    </row>
    <row r="45">
      <c r="A45" s="59" t="inlineStr">
        <is>
          <t xml:space="preserve">scenario_assist_band</t>
        </is>
      </c>
      <c r="B45" s="59" t="inlineStr">
        <is>
          <t xml:space="preserve">economy/span/16k/no-conspect</t>
        </is>
      </c>
      <c r="C45" s="59" t="inlineStr">
        <is>
          <t xml:space="preserve">qwen/qwen3.5-plus-02-15</t>
        </is>
      </c>
      <c r="D45" s="59" t="inlineStr">
        <is>
          <t xml:space="preserve">OpenRouter</t>
        </is>
      </c>
      <c r="E45" s="59" t="inlineStr">
        <is>
          <t xml:space="preserve">—</t>
        </is>
      </c>
      <c r="F45" s="59">
        <v>0.26</v>
      </c>
      <c r="G45" s="59">
        <v>1.56</v>
      </c>
      <c r="H45" s="59">
        <v>0.0</v>
      </c>
      <c r="I45" s="59">
        <v>0.0</v>
      </c>
      <c r="J45" s="59">
        <v>2</v>
      </c>
      <c r="K45" s="59">
        <v>0</v>
      </c>
      <c r="L45" s="59">
        <v>9600</v>
      </c>
      <c r="M45" s="59">
        <v>900</v>
      </c>
      <c r="N45" s="59">
        <v>16000</v>
      </c>
      <c r="O45" s="59">
        <v>1500</v>
      </c>
      <c r="P45" s="59">
        <f>J45*(N45*F45+O45*G45)/1000000</f>
        <v>0.013</v>
      </c>
      <c r="Q45" s="59">
        <f>K45*(N45*H45+O45*I45)/1000000</f>
        <v>0.0</v>
      </c>
      <c r="R45" s="59">
        <f>P45+Q45+0</f>
        <v>0.013</v>
      </c>
      <c r="S45" s="59">
        <f>P45*IF(D45="OpenRouter",$E$3,$H$3)+Q45*IF(E45="OpenRouter",$E$3,$H$3)+0*$E$3</f>
        <v>1.380366</v>
      </c>
      <c r="T45" s="60">
        <f>ROUNDUP(S45/($B$4*(1-$Q$4)),0)</f>
        <v>6</v>
      </c>
      <c r="U45" s="59">
        <f>1-S45/(T45*$B$4)</f>
        <v>0.30518466616935114</v>
      </c>
      <c r="V45" s="59">
        <v>0</v>
      </c>
      <c r="W45" s="59">
        <v>0</v>
      </c>
      <c r="X45" s="59">
        <v>3</v>
      </c>
      <c r="Y45" s="63" t="inlineStr">
        <is>
          <t xml:space="preserve">ACTIVE 25% Scenario band; uncached worst-route; conditional conspect; no user content. economy/span/16k/no-conspect</t>
        </is>
      </c>
      <c r="Z45" s="59">
        <v>1.0</v>
      </c>
      <c r="AA45" s="59">
        <v>1.0</v>
      </c>
      <c r="AB45" s="59" t="inlineStr">
        <is>
          <t xml:space="preserve">none</t>
        </is>
      </c>
      <c r="AC45" s="59">
        <v>0</v>
      </c>
      <c r="AD45" s="59" t="inlineStr">
        <is>
          <t xml:space="preserve">unverified_disabled</t>
        </is>
      </c>
      <c r="AE45" s="63" t="inlineStr">
        <is>
          <t xml:space="preserve">OWNER-GATED PROBE; 2026-08-15</t>
        </is>
      </c>
    </row>
    <row r="46">
      <c r="A46" s="59" t="inlineStr">
        <is>
          <t xml:space="preserve">scenario_assist_band</t>
        </is>
      </c>
      <c r="B46" s="59" t="inlineStr">
        <is>
          <t xml:space="preserve">economy/span/16k/conspect</t>
        </is>
      </c>
      <c r="C46" s="59" t="inlineStr">
        <is>
          <t xml:space="preserve">qwen/qwen3.5-plus-02-15</t>
        </is>
      </c>
      <c r="D46" s="59" t="inlineStr">
        <is>
          <t xml:space="preserve">OpenRouter</t>
        </is>
      </c>
      <c r="E46" s="59" t="inlineStr">
        <is>
          <t xml:space="preserve">—</t>
        </is>
      </c>
      <c r="F46" s="59">
        <v>0.26</v>
      </c>
      <c r="G46" s="59">
        <v>1.56</v>
      </c>
      <c r="H46" s="59">
        <v>0.0</v>
      </c>
      <c r="I46" s="59">
        <v>0.0</v>
      </c>
      <c r="J46" s="59">
        <v>2</v>
      </c>
      <c r="K46" s="59">
        <v>0</v>
      </c>
      <c r="L46" s="59">
        <v>9600</v>
      </c>
      <c r="M46" s="59">
        <v>900</v>
      </c>
      <c r="N46" s="59">
        <v>16000</v>
      </c>
      <c r="O46" s="59">
        <v>1500</v>
      </c>
      <c r="P46" s="59">
        <f>J46*(N46*F46+O46*G46)/1000000</f>
        <v>0.013</v>
      </c>
      <c r="Q46" s="59">
        <f>K46*(N46*H46+O46*I46)/1000000</f>
        <v>0.0</v>
      </c>
      <c r="R46" s="59">
        <f>P46+Q46+IF("conspect"="conspect",$Q$3*($K$3*0.26+$N$3*1.56)/1000000,0)</f>
        <v>0.030472</v>
      </c>
      <c r="S46" s="59">
        <f>P46*IF(D46="OpenRouter",$E$3,$H$3)+Q46*IF(E46="OpenRouter",$E$3,$H$3)+IF("conspect"="conspect",$Q$3*($K$3*0.26+$N$3*1.56)/1000000,0)*$E$3</f>
        <v>3.2355779040000003</v>
      </c>
      <c r="T46" s="60">
        <f>ROUNDUP(S46/($B$4*(1-$Q$4)),0)</f>
        <v>14</v>
      </c>
      <c r="U46" s="59">
        <f>1-S46/(T46*$B$4)</f>
        <v>0.3020083675004108</v>
      </c>
      <c r="V46" s="59">
        <v>0</v>
      </c>
      <c r="W46" s="59">
        <v>0</v>
      </c>
      <c r="X46" s="59">
        <v>3</v>
      </c>
      <c r="Y46" s="63" t="inlineStr">
        <is>
          <t xml:space="preserve">ACTIVE 25% Scenario band; uncached worst-route; conditional conspect; no user content. economy/span/16k/conspect</t>
        </is>
      </c>
      <c r="Z46" s="59">
        <v>1.0</v>
      </c>
      <c r="AA46" s="59">
        <v>1.0</v>
      </c>
      <c r="AB46" s="59" t="inlineStr">
        <is>
          <t xml:space="preserve">none</t>
        </is>
      </c>
      <c r="AC46" s="59">
        <v>0</v>
      </c>
      <c r="AD46" s="59" t="inlineStr">
        <is>
          <t xml:space="preserve">unverified_disabled</t>
        </is>
      </c>
      <c r="AE46" s="63" t="inlineStr">
        <is>
          <t xml:space="preserve">OWNER-GATED PROBE; 2026-08-15</t>
        </is>
      </c>
    </row>
    <row r="47">
      <c r="A47" s="59" t="inlineStr">
        <is>
          <t xml:space="preserve">scenario_assist_band</t>
        </is>
      </c>
      <c r="B47" s="59" t="inlineStr">
        <is>
          <t xml:space="preserve">economy/span/22_4k/no-conspect</t>
        </is>
      </c>
      <c r="C47" s="59" t="inlineStr">
        <is>
          <t xml:space="preserve">qwen/qwen3.5-plus-02-15</t>
        </is>
      </c>
      <c r="D47" s="59" t="inlineStr">
        <is>
          <t xml:space="preserve">OpenRouter</t>
        </is>
      </c>
      <c r="E47" s="59" t="inlineStr">
        <is>
          <t xml:space="preserve">—</t>
        </is>
      </c>
      <c r="F47" s="59">
        <v>0.26</v>
      </c>
      <c r="G47" s="59">
        <v>1.56</v>
      </c>
      <c r="H47" s="59">
        <v>0.0</v>
      </c>
      <c r="I47" s="59">
        <v>0.0</v>
      </c>
      <c r="J47" s="59">
        <v>2</v>
      </c>
      <c r="K47" s="59">
        <v>0</v>
      </c>
      <c r="L47" s="59">
        <v>13440</v>
      </c>
      <c r="M47" s="59">
        <v>900</v>
      </c>
      <c r="N47" s="59">
        <v>22400</v>
      </c>
      <c r="O47" s="59">
        <v>1500</v>
      </c>
      <c r="P47" s="59">
        <f>J47*(N47*F47+O47*G47)/1000000</f>
        <v>0.016328</v>
      </c>
      <c r="Q47" s="59">
        <f>K47*(N47*H47+O47*I47)/1000000</f>
        <v>0.0</v>
      </c>
      <c r="R47" s="59">
        <f>P47+Q47+0</f>
        <v>0.016328</v>
      </c>
      <c r="S47" s="59">
        <f>P47*IF(D47="OpenRouter",$E$3,$H$3)+Q47*IF(E47="OpenRouter",$E$3,$H$3)+0*$E$3</f>
        <v>1.733739696</v>
      </c>
      <c r="T47" s="60">
        <f>ROUNDUP(S47/($B$4*(1-$Q$4)),0)</f>
        <v>7</v>
      </c>
      <c r="U47" s="59">
        <f>1-S47/(T47*$B$4)</f>
        <v>0.25198166346460427</v>
      </c>
      <c r="V47" s="59">
        <v>0</v>
      </c>
      <c r="W47" s="59">
        <v>0</v>
      </c>
      <c r="X47" s="59">
        <v>3</v>
      </c>
      <c r="Y47" s="63" t="inlineStr">
        <is>
          <t xml:space="preserve">ACTIVE 25% Scenario band; uncached worst-route; conditional conspect; no user content. economy/span/22_4k/no-conspect</t>
        </is>
      </c>
      <c r="Z47" s="59">
        <v>1.0</v>
      </c>
      <c r="AA47" s="59">
        <v>1.0</v>
      </c>
      <c r="AB47" s="59" t="inlineStr">
        <is>
          <t xml:space="preserve">none</t>
        </is>
      </c>
      <c r="AC47" s="59">
        <v>0</v>
      </c>
      <c r="AD47" s="59" t="inlineStr">
        <is>
          <t xml:space="preserve">unverified_disabled</t>
        </is>
      </c>
      <c r="AE47" s="63" t="inlineStr">
        <is>
          <t xml:space="preserve">OWNER-GATED PROBE; 2026-08-15</t>
        </is>
      </c>
    </row>
    <row r="48">
      <c r="A48" s="59" t="inlineStr">
        <is>
          <t xml:space="preserve">scenario_assist_band</t>
        </is>
      </c>
      <c r="B48" s="59" t="inlineStr">
        <is>
          <t xml:space="preserve">economy/span/22_4k/conspect</t>
        </is>
      </c>
      <c r="C48" s="59" t="inlineStr">
        <is>
          <t xml:space="preserve">qwen/qwen3.5-plus-02-15</t>
        </is>
      </c>
      <c r="D48" s="59" t="inlineStr">
        <is>
          <t xml:space="preserve">OpenRouter</t>
        </is>
      </c>
      <c r="E48" s="59" t="inlineStr">
        <is>
          <t xml:space="preserve">—</t>
        </is>
      </c>
      <c r="F48" s="59">
        <v>0.26</v>
      </c>
      <c r="G48" s="59">
        <v>1.56</v>
      </c>
      <c r="H48" s="59">
        <v>0.0</v>
      </c>
      <c r="I48" s="59">
        <v>0.0</v>
      </c>
      <c r="J48" s="59">
        <v>2</v>
      </c>
      <c r="K48" s="59">
        <v>0</v>
      </c>
      <c r="L48" s="59">
        <v>13440</v>
      </c>
      <c r="M48" s="59">
        <v>900</v>
      </c>
      <c r="N48" s="59">
        <v>22400</v>
      </c>
      <c r="O48" s="59">
        <v>1500</v>
      </c>
      <c r="P48" s="59">
        <f>J48*(N48*F48+O48*G48)/1000000</f>
        <v>0.016328</v>
      </c>
      <c r="Q48" s="59">
        <f>K48*(N48*H48+O48*I48)/1000000</f>
        <v>0.0</v>
      </c>
      <c r="R48" s="59">
        <f>P48+Q48+IF("conspect"="conspect",$Q$3*($K$3*0.26+$N$3*1.56)/1000000,0)</f>
        <v>0.0338</v>
      </c>
      <c r="S48" s="59">
        <f>P48*IF(D48="OpenRouter",$E$3,$H$3)+Q48*IF(E48="OpenRouter",$E$3,$H$3)+IF("conspect"="conspect",$Q$3*($K$3*0.26+$N$3*1.56)/1000000,0)*$E$3</f>
        <v>3.5889516</v>
      </c>
      <c r="T48" s="60">
        <f>ROUNDUP(S48/($B$4*(1-$Q$4)),0)</f>
        <v>15</v>
      </c>
      <c r="U48" s="59">
        <f>1-S48/(T48*$B$4)</f>
        <v>0.2773920528161251</v>
      </c>
      <c r="V48" s="59">
        <v>0</v>
      </c>
      <c r="W48" s="59">
        <v>0</v>
      </c>
      <c r="X48" s="59">
        <v>3</v>
      </c>
      <c r="Y48" s="63" t="inlineStr">
        <is>
          <t xml:space="preserve">ACTIVE 25% Scenario band; uncached worst-route; conditional conspect; no user content. economy/span/22_4k/conspect</t>
        </is>
      </c>
      <c r="Z48" s="59">
        <v>1.0</v>
      </c>
      <c r="AA48" s="59">
        <v>1.0</v>
      </c>
      <c r="AB48" s="59" t="inlineStr">
        <is>
          <t xml:space="preserve">none</t>
        </is>
      </c>
      <c r="AC48" s="59">
        <v>0</v>
      </c>
      <c r="AD48" s="59" t="inlineStr">
        <is>
          <t xml:space="preserve">unverified_disabled</t>
        </is>
      </c>
      <c r="AE48" s="63" t="inlineStr">
        <is>
          <t xml:space="preserve">OWNER-GATED PROBE; 2026-08-15</t>
        </is>
      </c>
    </row>
    <row r="49">
      <c r="A49" s="59" t="inlineStr">
        <is>
          <t xml:space="preserve">scenario_assist_band</t>
        </is>
      </c>
      <c r="B49" s="59" t="inlineStr">
        <is>
          <t xml:space="preserve">economy/scene/8k/no-conspect</t>
        </is>
      </c>
      <c r="C49" s="59" t="inlineStr">
        <is>
          <t xml:space="preserve">qwen/qwen3.5-plus-02-15</t>
        </is>
      </c>
      <c r="D49" s="59" t="inlineStr">
        <is>
          <t xml:space="preserve">OpenRouter</t>
        </is>
      </c>
      <c r="E49" s="59" t="inlineStr">
        <is>
          <t xml:space="preserve">—</t>
        </is>
      </c>
      <c r="F49" s="59">
        <v>0.26</v>
      </c>
      <c r="G49" s="59">
        <v>1.56</v>
      </c>
      <c r="H49" s="59">
        <v>0.0</v>
      </c>
      <c r="I49" s="59">
        <v>0.0</v>
      </c>
      <c r="J49" s="59">
        <v>2</v>
      </c>
      <c r="K49" s="59">
        <v>0</v>
      </c>
      <c r="L49" s="59">
        <v>4800</v>
      </c>
      <c r="M49" s="59">
        <v>1200</v>
      </c>
      <c r="N49" s="59">
        <v>8000</v>
      </c>
      <c r="O49" s="59">
        <v>2000</v>
      </c>
      <c r="P49" s="59">
        <f>J49*(N49*F49+O49*G49)/1000000</f>
        <v>0.0104</v>
      </c>
      <c r="Q49" s="59">
        <f>K49*(N49*H49+O49*I49)/1000000</f>
        <v>0.0</v>
      </c>
      <c r="R49" s="59">
        <f>P49+Q49+0</f>
        <v>0.0104</v>
      </c>
      <c r="S49" s="59">
        <f>P49*IF(D49="OpenRouter",$E$3,$H$3)+Q49*IF(E49="OpenRouter",$E$3,$H$3)+0*$E$3</f>
        <v>1.1042928</v>
      </c>
      <c r="T49" s="60">
        <f>ROUNDUP(S49/($B$4*(1-$Q$4)),0)</f>
        <v>5</v>
      </c>
      <c r="U49" s="59">
        <f>1-S49/(T49*$B$4)</f>
        <v>0.33297727952257694</v>
      </c>
      <c r="V49" s="59">
        <v>0</v>
      </c>
      <c r="W49" s="59">
        <v>0</v>
      </c>
      <c r="X49" s="59">
        <v>3</v>
      </c>
      <c r="Y49" s="63" t="inlineStr">
        <is>
          <t xml:space="preserve">ACTIVE 25% Scenario band; uncached worst-route; conditional conspect; no user content. economy/scene/8k/no-conspect</t>
        </is>
      </c>
      <c r="Z49" s="59">
        <v>1.0</v>
      </c>
      <c r="AA49" s="59">
        <v>1.0</v>
      </c>
      <c r="AB49" s="59" t="inlineStr">
        <is>
          <t xml:space="preserve">none</t>
        </is>
      </c>
      <c r="AC49" s="59">
        <v>0</v>
      </c>
      <c r="AD49" s="59" t="inlineStr">
        <is>
          <t xml:space="preserve">unverified_disabled</t>
        </is>
      </c>
      <c r="AE49" s="63" t="inlineStr">
        <is>
          <t xml:space="preserve">OWNER-GATED PROBE; 2026-08-15</t>
        </is>
      </c>
    </row>
    <row r="50">
      <c r="A50" s="59" t="inlineStr">
        <is>
          <t xml:space="preserve">scenario_assist_band</t>
        </is>
      </c>
      <c r="B50" s="59" t="inlineStr">
        <is>
          <t xml:space="preserve">economy/scene/8k/conspect</t>
        </is>
      </c>
      <c r="C50" s="59" t="inlineStr">
        <is>
          <t xml:space="preserve">qwen/qwen3.5-plus-02-15</t>
        </is>
      </c>
      <c r="D50" s="59" t="inlineStr">
        <is>
          <t xml:space="preserve">OpenRouter</t>
        </is>
      </c>
      <c r="E50" s="59" t="inlineStr">
        <is>
          <t xml:space="preserve">—</t>
        </is>
      </c>
      <c r="F50" s="59">
        <v>0.26</v>
      </c>
      <c r="G50" s="59">
        <v>1.56</v>
      </c>
      <c r="H50" s="59">
        <v>0.0</v>
      </c>
      <c r="I50" s="59">
        <v>0.0</v>
      </c>
      <c r="J50" s="59">
        <v>2</v>
      </c>
      <c r="K50" s="59">
        <v>0</v>
      </c>
      <c r="L50" s="59">
        <v>4800</v>
      </c>
      <c r="M50" s="59">
        <v>1200</v>
      </c>
      <c r="N50" s="59">
        <v>8000</v>
      </c>
      <c r="O50" s="59">
        <v>2000</v>
      </c>
      <c r="P50" s="59">
        <f>J50*(N50*F50+O50*G50)/1000000</f>
        <v>0.0104</v>
      </c>
      <c r="Q50" s="59">
        <f>K50*(N50*H50+O50*I50)/1000000</f>
        <v>0.0</v>
      </c>
      <c r="R50" s="59">
        <f>P50+Q50+IF("conspect"="conspect",$Q$3*($K$3*0.26+$N$3*1.56)/1000000,0)</f>
        <v>0.027872</v>
      </c>
      <c r="S50" s="59">
        <f>P50*IF(D50="OpenRouter",$E$3,$H$3)+Q50*IF(E50="OpenRouter",$E$3,$H$3)+IF("conspect"="conspect",$Q$3*($K$3*0.26+$N$3*1.56)/1000000,0)*$E$3</f>
        <v>2.9595047040000004</v>
      </c>
      <c r="T50" s="60">
        <f>ROUNDUP(S50/($B$4*(1-$Q$4)),0)</f>
        <v>12</v>
      </c>
      <c r="U50" s="59">
        <f>1-S50/(T50*$B$4)</f>
        <v>0.25515796213354425</v>
      </c>
      <c r="V50" s="59">
        <v>0</v>
      </c>
      <c r="W50" s="59">
        <v>0</v>
      </c>
      <c r="X50" s="59">
        <v>3</v>
      </c>
      <c r="Y50" s="63" t="inlineStr">
        <is>
          <t xml:space="preserve">ACTIVE 25% Scenario band; uncached worst-route; conditional conspect; no user content. economy/scene/8k/conspect</t>
        </is>
      </c>
      <c r="Z50" s="59">
        <v>1.0</v>
      </c>
      <c r="AA50" s="59">
        <v>1.0</v>
      </c>
      <c r="AB50" s="59" t="inlineStr">
        <is>
          <t xml:space="preserve">none</t>
        </is>
      </c>
      <c r="AC50" s="59">
        <v>0</v>
      </c>
      <c r="AD50" s="59" t="inlineStr">
        <is>
          <t xml:space="preserve">unverified_disabled</t>
        </is>
      </c>
      <c r="AE50" s="63" t="inlineStr">
        <is>
          <t xml:space="preserve">OWNER-GATED PROBE; 2026-08-15</t>
        </is>
      </c>
    </row>
    <row r="51">
      <c r="A51" s="59" t="inlineStr">
        <is>
          <t xml:space="preserve">scenario_assist_band</t>
        </is>
      </c>
      <c r="B51" s="59" t="inlineStr">
        <is>
          <t xml:space="preserve">economy/scene/16k/no-conspect</t>
        </is>
      </c>
      <c r="C51" s="59" t="inlineStr">
        <is>
          <t xml:space="preserve">qwen/qwen3.5-plus-02-15</t>
        </is>
      </c>
      <c r="D51" s="59" t="inlineStr">
        <is>
          <t xml:space="preserve">OpenRouter</t>
        </is>
      </c>
      <c r="E51" s="59" t="inlineStr">
        <is>
          <t xml:space="preserve">—</t>
        </is>
      </c>
      <c r="F51" s="59">
        <v>0.26</v>
      </c>
      <c r="G51" s="59">
        <v>1.56</v>
      </c>
      <c r="H51" s="59">
        <v>0.0</v>
      </c>
      <c r="I51" s="59">
        <v>0.0</v>
      </c>
      <c r="J51" s="59">
        <v>2</v>
      </c>
      <c r="K51" s="59">
        <v>0</v>
      </c>
      <c r="L51" s="59">
        <v>9600</v>
      </c>
      <c r="M51" s="59">
        <v>1200</v>
      </c>
      <c r="N51" s="59">
        <v>16000</v>
      </c>
      <c r="O51" s="59">
        <v>2000</v>
      </c>
      <c r="P51" s="59">
        <f>J51*(N51*F51+O51*G51)/1000000</f>
        <v>0.01456</v>
      </c>
      <c r="Q51" s="59">
        <f>K51*(N51*H51+O51*I51)/1000000</f>
        <v>0.0</v>
      </c>
      <c r="R51" s="59">
        <f>P51+Q51+0</f>
        <v>0.01456</v>
      </c>
      <c r="S51" s="59">
        <f>P51*IF(D51="OpenRouter",$E$3,$H$3)+Q51*IF(E51="OpenRouter",$E$3,$H$3)+0*$E$3</f>
        <v>1.54600992</v>
      </c>
      <c r="T51" s="60">
        <f>ROUNDUP(S51/($B$4*(1-$Q$4)),0)</f>
        <v>7</v>
      </c>
      <c r="U51" s="59">
        <f>1-S51/(T51*$B$4)</f>
        <v>0.33297727952257705</v>
      </c>
      <c r="V51" s="59">
        <v>0</v>
      </c>
      <c r="W51" s="59">
        <v>0</v>
      </c>
      <c r="X51" s="59">
        <v>3</v>
      </c>
      <c r="Y51" s="63" t="inlineStr">
        <is>
          <t xml:space="preserve">ACTIVE 25% Scenario band; uncached worst-route; conditional conspect; no user content. economy/scene/16k/no-conspect</t>
        </is>
      </c>
      <c r="Z51" s="59">
        <v>1.0</v>
      </c>
      <c r="AA51" s="59">
        <v>1.0</v>
      </c>
      <c r="AB51" s="59" t="inlineStr">
        <is>
          <t xml:space="preserve">none</t>
        </is>
      </c>
      <c r="AC51" s="59">
        <v>0</v>
      </c>
      <c r="AD51" s="59" t="inlineStr">
        <is>
          <t xml:space="preserve">unverified_disabled</t>
        </is>
      </c>
      <c r="AE51" s="63" t="inlineStr">
        <is>
          <t xml:space="preserve">OWNER-GATED PROBE; 2026-08-15</t>
        </is>
      </c>
    </row>
    <row r="52">
      <c r="A52" s="59" t="inlineStr">
        <is>
          <t xml:space="preserve">scenario_assist_band</t>
        </is>
      </c>
      <c r="B52" s="59" t="inlineStr">
        <is>
          <t xml:space="preserve">economy/scene/16k/conspect</t>
        </is>
      </c>
      <c r="C52" s="59" t="inlineStr">
        <is>
          <t xml:space="preserve">qwen/qwen3.5-plus-02-15</t>
        </is>
      </c>
      <c r="D52" s="59" t="inlineStr">
        <is>
          <t xml:space="preserve">OpenRouter</t>
        </is>
      </c>
      <c r="E52" s="59" t="inlineStr">
        <is>
          <t xml:space="preserve">—</t>
        </is>
      </c>
      <c r="F52" s="59">
        <v>0.26</v>
      </c>
      <c r="G52" s="59">
        <v>1.56</v>
      </c>
      <c r="H52" s="59">
        <v>0.0</v>
      </c>
      <c r="I52" s="59">
        <v>0.0</v>
      </c>
      <c r="J52" s="59">
        <v>2</v>
      </c>
      <c r="K52" s="59">
        <v>0</v>
      </c>
      <c r="L52" s="59">
        <v>9600</v>
      </c>
      <c r="M52" s="59">
        <v>1200</v>
      </c>
      <c r="N52" s="59">
        <v>16000</v>
      </c>
      <c r="O52" s="59">
        <v>2000</v>
      </c>
      <c r="P52" s="59">
        <f>J52*(N52*F52+O52*G52)/1000000</f>
        <v>0.01456</v>
      </c>
      <c r="Q52" s="59">
        <f>K52*(N52*H52+O52*I52)/1000000</f>
        <v>0.0</v>
      </c>
      <c r="R52" s="59">
        <f>P52+Q52+IF("conspect"="conspect",$Q$3*($K$3*0.26+$N$3*1.56)/1000000,0)</f>
        <v>0.032032000000000005</v>
      </c>
      <c r="S52" s="59">
        <f>P52*IF(D52="OpenRouter",$E$3,$H$3)+Q52*IF(E52="OpenRouter",$E$3,$H$3)+IF("conspect"="conspect",$Q$3*($K$3*0.26+$N$3*1.56)/1000000,0)*$E$3</f>
        <v>3.4012218240000003</v>
      </c>
      <c r="T52" s="60">
        <f>ROUNDUP(S52/($B$4*(1-$Q$4)),0)</f>
        <v>14</v>
      </c>
      <c r="U52" s="59">
        <f>1-S52/(T52*$B$4)</f>
        <v>0.2662750074748347</v>
      </c>
      <c r="V52" s="59">
        <v>0</v>
      </c>
      <c r="W52" s="59">
        <v>0</v>
      </c>
      <c r="X52" s="59">
        <v>3</v>
      </c>
      <c r="Y52" s="63" t="inlineStr">
        <is>
          <t xml:space="preserve">ACTIVE 25% Scenario band; uncached worst-route; conditional conspect; no user content. economy/scene/16k/conspect</t>
        </is>
      </c>
      <c r="Z52" s="59">
        <v>1.0</v>
      </c>
      <c r="AA52" s="59">
        <v>1.0</v>
      </c>
      <c r="AB52" s="59" t="inlineStr">
        <is>
          <t xml:space="preserve">none</t>
        </is>
      </c>
      <c r="AC52" s="59">
        <v>0</v>
      </c>
      <c r="AD52" s="59" t="inlineStr">
        <is>
          <t xml:space="preserve">unverified_disabled</t>
        </is>
      </c>
      <c r="AE52" s="63" t="inlineStr">
        <is>
          <t xml:space="preserve">OWNER-GATED PROBE; 2026-08-15</t>
        </is>
      </c>
    </row>
    <row r="53">
      <c r="A53" s="59" t="inlineStr">
        <is>
          <t xml:space="preserve">scenario_assist_band</t>
        </is>
      </c>
      <c r="B53" s="59" t="inlineStr">
        <is>
          <t xml:space="preserve">economy/scene/28k/no-conspect</t>
        </is>
      </c>
      <c r="C53" s="59" t="inlineStr">
        <is>
          <t xml:space="preserve">qwen/qwen3.5-plus-02-15</t>
        </is>
      </c>
      <c r="D53" s="59" t="inlineStr">
        <is>
          <t xml:space="preserve">OpenRouter</t>
        </is>
      </c>
      <c r="E53" s="59" t="inlineStr">
        <is>
          <t xml:space="preserve">—</t>
        </is>
      </c>
      <c r="F53" s="59">
        <v>0.26</v>
      </c>
      <c r="G53" s="59">
        <v>1.56</v>
      </c>
      <c r="H53" s="59">
        <v>0.0</v>
      </c>
      <c r="I53" s="59">
        <v>0.0</v>
      </c>
      <c r="J53" s="59">
        <v>2</v>
      </c>
      <c r="K53" s="59">
        <v>0</v>
      </c>
      <c r="L53" s="59">
        <v>16800</v>
      </c>
      <c r="M53" s="59">
        <v>1200</v>
      </c>
      <c r="N53" s="59">
        <v>28000</v>
      </c>
      <c r="O53" s="59">
        <v>2000</v>
      </c>
      <c r="P53" s="59">
        <f>J53*(N53*F53+O53*G53)/1000000</f>
        <v>0.0208</v>
      </c>
      <c r="Q53" s="59">
        <f>K53*(N53*H53+O53*I53)/1000000</f>
        <v>0.0</v>
      </c>
      <c r="R53" s="59">
        <f>P53+Q53+0</f>
        <v>0.0208</v>
      </c>
      <c r="S53" s="59">
        <f>P53*IF(D53="OpenRouter",$E$3,$H$3)+Q53*IF(E53="OpenRouter",$E$3,$H$3)+0*$E$3</f>
        <v>2.2085856</v>
      </c>
      <c r="T53" s="60">
        <f>ROUNDUP(S53/($B$4*(1-$Q$4)),0)</f>
        <v>9</v>
      </c>
      <c r="U53" s="59">
        <f>1-S53/(T53*$B$4)</f>
        <v>0.25886364391397443</v>
      </c>
      <c r="V53" s="59">
        <v>0</v>
      </c>
      <c r="W53" s="59">
        <v>0</v>
      </c>
      <c r="X53" s="59">
        <v>3</v>
      </c>
      <c r="Y53" s="63" t="inlineStr">
        <is>
          <t xml:space="preserve">ACTIVE 25% Scenario band; uncached worst-route; conditional conspect; no user content. economy/scene/28k/no-conspect</t>
        </is>
      </c>
      <c r="Z53" s="59">
        <v>1.0</v>
      </c>
      <c r="AA53" s="59">
        <v>1.0</v>
      </c>
      <c r="AB53" s="59" t="inlineStr">
        <is>
          <t xml:space="preserve">none</t>
        </is>
      </c>
      <c r="AC53" s="59">
        <v>0</v>
      </c>
      <c r="AD53" s="59" t="inlineStr">
        <is>
          <t xml:space="preserve">unverified_disabled</t>
        </is>
      </c>
      <c r="AE53" s="63" t="inlineStr">
        <is>
          <t xml:space="preserve">OWNER-GATED PROBE; 2026-08-15</t>
        </is>
      </c>
    </row>
    <row r="54">
      <c r="A54" s="59" t="inlineStr">
        <is>
          <t xml:space="preserve">scenario_assist_band</t>
        </is>
      </c>
      <c r="B54" s="59" t="inlineStr">
        <is>
          <t xml:space="preserve">economy/scene/28k/conspect</t>
        </is>
      </c>
      <c r="C54" s="59" t="inlineStr">
        <is>
          <t xml:space="preserve">qwen/qwen3.5-plus-02-15</t>
        </is>
      </c>
      <c r="D54" s="59" t="inlineStr">
        <is>
          <t xml:space="preserve">OpenRouter</t>
        </is>
      </c>
      <c r="E54" s="59" t="inlineStr">
        <is>
          <t xml:space="preserve">—</t>
        </is>
      </c>
      <c r="F54" s="59">
        <v>0.26</v>
      </c>
      <c r="G54" s="59">
        <v>1.56</v>
      </c>
      <c r="H54" s="59">
        <v>0.0</v>
      </c>
      <c r="I54" s="59">
        <v>0.0</v>
      </c>
      <c r="J54" s="59">
        <v>2</v>
      </c>
      <c r="K54" s="59">
        <v>0</v>
      </c>
      <c r="L54" s="59">
        <v>16800</v>
      </c>
      <c r="M54" s="59">
        <v>1200</v>
      </c>
      <c r="N54" s="59">
        <v>28000</v>
      </c>
      <c r="O54" s="59">
        <v>2000</v>
      </c>
      <c r="P54" s="59">
        <f>J54*(N54*F54+O54*G54)/1000000</f>
        <v>0.0208</v>
      </c>
      <c r="Q54" s="59">
        <f>K54*(N54*H54+O54*I54)/1000000</f>
        <v>0.0</v>
      </c>
      <c r="R54" s="59">
        <f>P54+Q54+IF("conspect"="conspect",$Q$3*($K$3*0.26+$N$3*1.56)/1000000,0)</f>
        <v>0.038272</v>
      </c>
      <c r="S54" s="59">
        <f>P54*IF(D54="OpenRouter",$E$3,$H$3)+Q54*IF(E54="OpenRouter",$E$3,$H$3)+IF("conspect"="conspect",$Q$3*($K$3*0.26+$N$3*1.56)/1000000,0)*$E$3</f>
        <v>4.063797504</v>
      </c>
      <c r="T54" s="60">
        <f>ROUNDUP(S54/($B$4*(1-$Q$4)),0)</f>
        <v>17</v>
      </c>
      <c r="U54" s="59">
        <f>1-S54/(T54*$B$4)</f>
        <v>0.2780459966597304</v>
      </c>
      <c r="V54" s="59">
        <v>0</v>
      </c>
      <c r="W54" s="59">
        <v>0</v>
      </c>
      <c r="X54" s="59">
        <v>3</v>
      </c>
      <c r="Y54" s="63" t="inlineStr">
        <is>
          <t xml:space="preserve">ACTIVE 25% Scenario band; uncached worst-route; conditional conspect; no user content. economy/scene/28k/conspect</t>
        </is>
      </c>
      <c r="Z54" s="59">
        <v>1.0</v>
      </c>
      <c r="AA54" s="59">
        <v>1.0</v>
      </c>
      <c r="AB54" s="59" t="inlineStr">
        <is>
          <t xml:space="preserve">none</t>
        </is>
      </c>
      <c r="AC54" s="59">
        <v>0</v>
      </c>
      <c r="AD54" s="59" t="inlineStr">
        <is>
          <t xml:space="preserve">unverified_disabled</t>
        </is>
      </c>
      <c r="AE54" s="63" t="inlineStr">
        <is>
          <t xml:space="preserve">OWNER-GATED PROBE; 2026-08-15</t>
        </is>
      </c>
    </row>
    <row r="55">
      <c r="A55" s="59" t="inlineStr">
        <is>
          <t xml:space="preserve">scenario_assist_band</t>
        </is>
      </c>
      <c r="B55" s="59" t="inlineStr">
        <is>
          <t xml:space="preserve">economy/script/16k/no-conspect</t>
        </is>
      </c>
      <c r="C55" s="59" t="inlineStr">
        <is>
          <t xml:space="preserve">qwen/qwen3.5-plus-02-15</t>
        </is>
      </c>
      <c r="D55" s="59" t="inlineStr">
        <is>
          <t xml:space="preserve">OpenRouter</t>
        </is>
      </c>
      <c r="E55" s="59" t="inlineStr">
        <is>
          <t xml:space="preserve">—</t>
        </is>
      </c>
      <c r="F55" s="59">
        <v>0.26</v>
      </c>
      <c r="G55" s="59">
        <v>1.56</v>
      </c>
      <c r="H55" s="59">
        <v>0.0</v>
      </c>
      <c r="I55" s="59">
        <v>0.0</v>
      </c>
      <c r="J55" s="59">
        <v>2</v>
      </c>
      <c r="K55" s="59">
        <v>0</v>
      </c>
      <c r="L55" s="59">
        <v>9600</v>
      </c>
      <c r="M55" s="59">
        <v>1500</v>
      </c>
      <c r="N55" s="59">
        <v>16000</v>
      </c>
      <c r="O55" s="59">
        <v>2500</v>
      </c>
      <c r="P55" s="59">
        <f>J55*(N55*F55+O55*G55)/1000000</f>
        <v>0.01612</v>
      </c>
      <c r="Q55" s="59">
        <f>K55*(N55*H55+O55*I55)/1000000</f>
        <v>0.0</v>
      </c>
      <c r="R55" s="59">
        <f>P55+Q55+0</f>
        <v>0.01612</v>
      </c>
      <c r="S55" s="59">
        <f>P55*IF(D55="OpenRouter",$E$3,$H$3)+Q55*IF(E55="OpenRouter",$E$3,$H$3)+0*$E$3</f>
        <v>1.7116538399999999</v>
      </c>
      <c r="T55" s="60">
        <f>ROUNDUP(S55/($B$4*(1-$Q$4)),0)</f>
        <v>7</v>
      </c>
      <c r="U55" s="59">
        <f>1-S55/(T55*$B$4)</f>
        <v>0.26151055947142465</v>
      </c>
      <c r="V55" s="59">
        <v>0</v>
      </c>
      <c r="W55" s="59">
        <v>0</v>
      </c>
      <c r="X55" s="59">
        <v>3</v>
      </c>
      <c r="Y55" s="63" t="inlineStr">
        <is>
          <t xml:space="preserve">ACTIVE 25% Scenario band; uncached worst-route; conditional conspect; no user content. economy/script/16k/no-conspect</t>
        </is>
      </c>
      <c r="Z55" s="59">
        <v>1.0</v>
      </c>
      <c r="AA55" s="59">
        <v>1.0</v>
      </c>
      <c r="AB55" s="59" t="inlineStr">
        <is>
          <t xml:space="preserve">none</t>
        </is>
      </c>
      <c r="AC55" s="59">
        <v>0</v>
      </c>
      <c r="AD55" s="59" t="inlineStr">
        <is>
          <t xml:space="preserve">unverified_disabled</t>
        </is>
      </c>
      <c r="AE55" s="63" t="inlineStr">
        <is>
          <t xml:space="preserve">OWNER-GATED PROBE; 2026-08-15</t>
        </is>
      </c>
    </row>
    <row r="56">
      <c r="A56" s="59" t="inlineStr">
        <is>
          <t xml:space="preserve">scenario_assist_band</t>
        </is>
      </c>
      <c r="B56" s="59" t="inlineStr">
        <is>
          <t xml:space="preserve">economy/script/16k/conspect</t>
        </is>
      </c>
      <c r="C56" s="59" t="inlineStr">
        <is>
          <t xml:space="preserve">qwen/qwen3.5-plus-02-15</t>
        </is>
      </c>
      <c r="D56" s="59" t="inlineStr">
        <is>
          <t xml:space="preserve">OpenRouter</t>
        </is>
      </c>
      <c r="E56" s="59" t="inlineStr">
        <is>
          <t xml:space="preserve">—</t>
        </is>
      </c>
      <c r="F56" s="59">
        <v>0.26</v>
      </c>
      <c r="G56" s="59">
        <v>1.56</v>
      </c>
      <c r="H56" s="59">
        <v>0.0</v>
      </c>
      <c r="I56" s="59">
        <v>0.0</v>
      </c>
      <c r="J56" s="59">
        <v>2</v>
      </c>
      <c r="K56" s="59">
        <v>0</v>
      </c>
      <c r="L56" s="59">
        <v>9600</v>
      </c>
      <c r="M56" s="59">
        <v>1500</v>
      </c>
      <c r="N56" s="59">
        <v>16000</v>
      </c>
      <c r="O56" s="59">
        <v>2500</v>
      </c>
      <c r="P56" s="59">
        <f>J56*(N56*F56+O56*G56)/1000000</f>
        <v>0.01612</v>
      </c>
      <c r="Q56" s="59">
        <f>K56*(N56*H56+O56*I56)/1000000</f>
        <v>0.0</v>
      </c>
      <c r="R56" s="59">
        <f>P56+Q56+IF("conspect"="conspect",$Q$3*($K$3*0.26+$N$3*1.56)/1000000,0)</f>
        <v>0.033592</v>
      </c>
      <c r="S56" s="59">
        <f>P56*IF(D56="OpenRouter",$E$3,$H$3)+Q56*IF(E56="OpenRouter",$E$3,$H$3)+IF("conspect"="conspect",$Q$3*($K$3*0.26+$N$3*1.56)/1000000,0)*$E$3</f>
        <v>3.5668657440000002</v>
      </c>
      <c r="T56" s="60">
        <f>ROUNDUP(S56/($B$4*(1-$Q$4)),0)</f>
        <v>15</v>
      </c>
      <c r="U56" s="59">
        <f>1-S56/(T56*$B$4)</f>
        <v>0.28183887095264115</v>
      </c>
      <c r="V56" s="59">
        <v>0</v>
      </c>
      <c r="W56" s="59">
        <v>0</v>
      </c>
      <c r="X56" s="59">
        <v>3</v>
      </c>
      <c r="Y56" s="63" t="inlineStr">
        <is>
          <t xml:space="preserve">ACTIVE 25% Scenario band; uncached worst-route; conditional conspect; no user content. economy/script/16k/conspect</t>
        </is>
      </c>
      <c r="Z56" s="59">
        <v>1.0</v>
      </c>
      <c r="AA56" s="59">
        <v>1.0</v>
      </c>
      <c r="AB56" s="59" t="inlineStr">
        <is>
          <t xml:space="preserve">none</t>
        </is>
      </c>
      <c r="AC56" s="59">
        <v>0</v>
      </c>
      <c r="AD56" s="59" t="inlineStr">
        <is>
          <t xml:space="preserve">unverified_disabled</t>
        </is>
      </c>
      <c r="AE56" s="63" t="inlineStr">
        <is>
          <t xml:space="preserve">OWNER-GATED PROBE; 2026-08-15</t>
        </is>
      </c>
    </row>
    <row r="57">
      <c r="A57" s="59" t="inlineStr">
        <is>
          <t xml:space="preserve">scenario_assist_band</t>
        </is>
      </c>
      <c r="B57" s="59" t="inlineStr">
        <is>
          <t xml:space="preserve">economy/script/32k/no-conspect</t>
        </is>
      </c>
      <c r="C57" s="59" t="inlineStr">
        <is>
          <t xml:space="preserve">qwen/qwen3.5-plus-02-15</t>
        </is>
      </c>
      <c r="D57" s="59" t="inlineStr">
        <is>
          <t xml:space="preserve">OpenRouter</t>
        </is>
      </c>
      <c r="E57" s="59" t="inlineStr">
        <is>
          <t xml:space="preserve">—</t>
        </is>
      </c>
      <c r="F57" s="59">
        <v>0.26</v>
      </c>
      <c r="G57" s="59">
        <v>1.56</v>
      </c>
      <c r="H57" s="59">
        <v>0.0</v>
      </c>
      <c r="I57" s="59">
        <v>0.0</v>
      </c>
      <c r="J57" s="59">
        <v>2</v>
      </c>
      <c r="K57" s="59">
        <v>0</v>
      </c>
      <c r="L57" s="59">
        <v>19200</v>
      </c>
      <c r="M57" s="59">
        <v>1500</v>
      </c>
      <c r="N57" s="59">
        <v>32000</v>
      </c>
      <c r="O57" s="59">
        <v>2500</v>
      </c>
      <c r="P57" s="59">
        <f>J57*(N57*F57+O57*G57)/1000000</f>
        <v>0.02444</v>
      </c>
      <c r="Q57" s="59">
        <f>K57*(N57*H57+O57*I57)/1000000</f>
        <v>0.0</v>
      </c>
      <c r="R57" s="59">
        <f>P57+Q57+0</f>
        <v>0.02444</v>
      </c>
      <c r="S57" s="59">
        <f>P57*IF(D57="OpenRouter",$E$3,$H$3)+Q57*IF(E57="OpenRouter",$E$3,$H$3)+0*$E$3</f>
        <v>2.59508808</v>
      </c>
      <c r="T57" s="60">
        <f>ROUNDUP(S57/($B$4*(1-$Q$4)),0)</f>
        <v>11</v>
      </c>
      <c r="U57" s="59">
        <f>1-S57/(T57*$B$4)</f>
        <v>0.28749845767184357</v>
      </c>
      <c r="V57" s="59">
        <v>0</v>
      </c>
      <c r="W57" s="59">
        <v>0</v>
      </c>
      <c r="X57" s="59">
        <v>3</v>
      </c>
      <c r="Y57" s="63" t="inlineStr">
        <is>
          <t xml:space="preserve">ACTIVE 25% Scenario band; uncached worst-route; conditional conspect; no user content. economy/script/32k/no-conspect</t>
        </is>
      </c>
      <c r="Z57" s="59">
        <v>1.0</v>
      </c>
      <c r="AA57" s="59">
        <v>1.0</v>
      </c>
      <c r="AB57" s="59" t="inlineStr">
        <is>
          <t xml:space="preserve">none</t>
        </is>
      </c>
      <c r="AC57" s="59">
        <v>0</v>
      </c>
      <c r="AD57" s="59" t="inlineStr">
        <is>
          <t xml:space="preserve">unverified_disabled</t>
        </is>
      </c>
      <c r="AE57" s="63" t="inlineStr">
        <is>
          <t xml:space="preserve">OWNER-GATED PROBE; 2026-08-15</t>
        </is>
      </c>
    </row>
    <row r="58">
      <c r="A58" s="59" t="inlineStr">
        <is>
          <t xml:space="preserve">scenario_assist_band</t>
        </is>
      </c>
      <c r="B58" s="59" t="inlineStr">
        <is>
          <t xml:space="preserve">economy/script/32k/conspect</t>
        </is>
      </c>
      <c r="C58" s="59" t="inlineStr">
        <is>
          <t xml:space="preserve">qwen/qwen3.5-plus-02-15</t>
        </is>
      </c>
      <c r="D58" s="59" t="inlineStr">
        <is>
          <t xml:space="preserve">OpenRouter</t>
        </is>
      </c>
      <c r="E58" s="59" t="inlineStr">
        <is>
          <t xml:space="preserve">—</t>
        </is>
      </c>
      <c r="F58" s="59">
        <v>0.26</v>
      </c>
      <c r="G58" s="59">
        <v>1.56</v>
      </c>
      <c r="H58" s="59">
        <v>0.0</v>
      </c>
      <c r="I58" s="59">
        <v>0.0</v>
      </c>
      <c r="J58" s="59">
        <v>2</v>
      </c>
      <c r="K58" s="59">
        <v>0</v>
      </c>
      <c r="L58" s="59">
        <v>19200</v>
      </c>
      <c r="M58" s="59">
        <v>1500</v>
      </c>
      <c r="N58" s="59">
        <v>32000</v>
      </c>
      <c r="O58" s="59">
        <v>2500</v>
      </c>
      <c r="P58" s="59">
        <f>J58*(N58*F58+O58*G58)/1000000</f>
        <v>0.02444</v>
      </c>
      <c r="Q58" s="59">
        <f>K58*(N58*H58+O58*I58)/1000000</f>
        <v>0.0</v>
      </c>
      <c r="R58" s="59">
        <f>P58+Q58+IF("conspect"="conspect",$Q$3*($K$3*0.26+$N$3*1.56)/1000000,0)</f>
        <v>0.041912000000000005</v>
      </c>
      <c r="S58" s="59">
        <f>P58*IF(D58="OpenRouter",$E$3,$H$3)+Q58*IF(E58="OpenRouter",$E$3,$H$3)+IF("conspect"="conspect",$Q$3*($K$3*0.26+$N$3*1.56)/1000000,0)*$E$3</f>
        <v>4.450299984</v>
      </c>
      <c r="T58" s="60">
        <f>ROUNDUP(S58/($B$4*(1-$Q$4)),0)</f>
        <v>18</v>
      </c>
      <c r="U58" s="59">
        <f>1-S58/(T58*$B$4)</f>
        <v>0.25330512124332927</v>
      </c>
      <c r="V58" s="59">
        <v>0</v>
      </c>
      <c r="W58" s="59">
        <v>0</v>
      </c>
      <c r="X58" s="59">
        <v>3</v>
      </c>
      <c r="Y58" s="63" t="inlineStr">
        <is>
          <t xml:space="preserve">ACTIVE 25% Scenario band; uncached worst-route; conditional conspect; no user content. economy/script/32k/conspect</t>
        </is>
      </c>
      <c r="Z58" s="59">
        <v>1.0</v>
      </c>
      <c r="AA58" s="59">
        <v>1.0</v>
      </c>
      <c r="AB58" s="59" t="inlineStr">
        <is>
          <t xml:space="preserve">none</t>
        </is>
      </c>
      <c r="AC58" s="59">
        <v>0</v>
      </c>
      <c r="AD58" s="59" t="inlineStr">
        <is>
          <t xml:space="preserve">unverified_disabled</t>
        </is>
      </c>
      <c r="AE58" s="63" t="inlineStr">
        <is>
          <t xml:space="preserve">OWNER-GATED PROBE; 2026-08-15</t>
        </is>
      </c>
    </row>
    <row r="59">
      <c r="A59" s="59" t="inlineStr">
        <is>
          <t xml:space="preserve">scenario_assist_band</t>
        </is>
      </c>
      <c r="B59" s="59" t="inlineStr">
        <is>
          <t xml:space="preserve">economy/script/48k/no-conspect</t>
        </is>
      </c>
      <c r="C59" s="59" t="inlineStr">
        <is>
          <t xml:space="preserve">qwen/qwen3.5-plus-02-15</t>
        </is>
      </c>
      <c r="D59" s="59" t="inlineStr">
        <is>
          <t xml:space="preserve">OpenRouter</t>
        </is>
      </c>
      <c r="E59" s="59" t="inlineStr">
        <is>
          <t xml:space="preserve">—</t>
        </is>
      </c>
      <c r="F59" s="59">
        <v>0.26</v>
      </c>
      <c r="G59" s="59">
        <v>1.56</v>
      </c>
      <c r="H59" s="59">
        <v>0.0</v>
      </c>
      <c r="I59" s="59">
        <v>0.0</v>
      </c>
      <c r="J59" s="59">
        <v>2</v>
      </c>
      <c r="K59" s="59">
        <v>0</v>
      </c>
      <c r="L59" s="59">
        <v>28800</v>
      </c>
      <c r="M59" s="59">
        <v>1500</v>
      </c>
      <c r="N59" s="59">
        <v>48000</v>
      </c>
      <c r="O59" s="59">
        <v>2500</v>
      </c>
      <c r="P59" s="59">
        <f>J59*(N59*F59+O59*G59)/1000000</f>
        <v>0.03276</v>
      </c>
      <c r="Q59" s="59">
        <f>K59*(N59*H59+O59*I59)/1000000</f>
        <v>0.0</v>
      </c>
      <c r="R59" s="59">
        <f>P59+Q59+0</f>
        <v>0.03276</v>
      </c>
      <c r="S59" s="59">
        <f>P59*IF(D59="OpenRouter",$E$3,$H$3)+Q59*IF(E59="OpenRouter",$E$3,$H$3)+0*$E$3</f>
        <v>3.4785223199999997</v>
      </c>
      <c r="T59" s="60">
        <f>ROUNDUP(S59/($B$4*(1-$Q$4)),0)</f>
        <v>15</v>
      </c>
      <c r="U59" s="59">
        <f>1-S59/(T59*$B$4)</f>
        <v>0.29962614349870587</v>
      </c>
      <c r="V59" s="59">
        <v>0</v>
      </c>
      <c r="W59" s="59">
        <v>0</v>
      </c>
      <c r="X59" s="59">
        <v>3</v>
      </c>
      <c r="Y59" s="63" t="inlineStr">
        <is>
          <t xml:space="preserve">ACTIVE 25% Scenario band; uncached worst-route; conditional conspect; no user content. economy/script/48k/no-conspect</t>
        </is>
      </c>
      <c r="Z59" s="59">
        <v>1.0</v>
      </c>
      <c r="AA59" s="59">
        <v>1.0</v>
      </c>
      <c r="AB59" s="59" t="inlineStr">
        <is>
          <t xml:space="preserve">none</t>
        </is>
      </c>
      <c r="AC59" s="59">
        <v>0</v>
      </c>
      <c r="AD59" s="59" t="inlineStr">
        <is>
          <t xml:space="preserve">unverified_disabled</t>
        </is>
      </c>
      <c r="AE59" s="63" t="inlineStr">
        <is>
          <t xml:space="preserve">OWNER-GATED PROBE; 2026-08-15</t>
        </is>
      </c>
    </row>
    <row r="60">
      <c r="A60" s="59" t="inlineStr">
        <is>
          <t xml:space="preserve">scenario_assist_band</t>
        </is>
      </c>
      <c r="B60" s="59" t="inlineStr">
        <is>
          <t xml:space="preserve">economy/script/48k/conspect</t>
        </is>
      </c>
      <c r="C60" s="59" t="inlineStr">
        <is>
          <t xml:space="preserve">qwen/qwen3.5-plus-02-15</t>
        </is>
      </c>
      <c r="D60" s="59" t="inlineStr">
        <is>
          <t xml:space="preserve">OpenRouter</t>
        </is>
      </c>
      <c r="E60" s="59" t="inlineStr">
        <is>
          <t xml:space="preserve">—</t>
        </is>
      </c>
      <c r="F60" s="59">
        <v>0.26</v>
      </c>
      <c r="G60" s="59">
        <v>1.56</v>
      </c>
      <c r="H60" s="59">
        <v>0.0</v>
      </c>
      <c r="I60" s="59">
        <v>0.0</v>
      </c>
      <c r="J60" s="59">
        <v>2</v>
      </c>
      <c r="K60" s="59">
        <v>0</v>
      </c>
      <c r="L60" s="59">
        <v>28800</v>
      </c>
      <c r="M60" s="59">
        <v>1500</v>
      </c>
      <c r="N60" s="59">
        <v>48000</v>
      </c>
      <c r="O60" s="59">
        <v>2500</v>
      </c>
      <c r="P60" s="59">
        <f>J60*(N60*F60+O60*G60)/1000000</f>
        <v>0.03276</v>
      </c>
      <c r="Q60" s="59">
        <f>K60*(N60*H60+O60*I60)/1000000</f>
        <v>0.0</v>
      </c>
      <c r="R60" s="59">
        <f>P60+Q60+IF("conspect"="conspect",$Q$3*($K$3*0.26+$N$3*1.56)/1000000,0)</f>
        <v>0.050232</v>
      </c>
      <c r="S60" s="59">
        <f>P60*IF(D60="OpenRouter",$E$3,$H$3)+Q60*IF(E60="OpenRouter",$E$3,$H$3)+IF("conspect"="conspect",$Q$3*($K$3*0.26+$N$3*1.56)/1000000,0)*$E$3</f>
        <v>5.333734224</v>
      </c>
      <c r="T60" s="60">
        <f>ROUNDUP(S60/($B$4*(1-$Q$4)),0)</f>
        <v>22</v>
      </c>
      <c r="U60" s="59">
        <f>1-S60/(T60*$B$4)</f>
        <v>0.2677909682031925</v>
      </c>
      <c r="V60" s="59">
        <v>0</v>
      </c>
      <c r="W60" s="59">
        <v>0</v>
      </c>
      <c r="X60" s="59">
        <v>3</v>
      </c>
      <c r="Y60" s="63" t="inlineStr">
        <is>
          <t xml:space="preserve">ACTIVE 25% Scenario band; uncached worst-route; conditional conspect; no user content. economy/script/48k/conspect</t>
        </is>
      </c>
      <c r="Z60" s="59">
        <v>1.0</v>
      </c>
      <c r="AA60" s="59">
        <v>1.0</v>
      </c>
      <c r="AB60" s="59" t="inlineStr">
        <is>
          <t xml:space="preserve">none</t>
        </is>
      </c>
      <c r="AC60" s="59">
        <v>0</v>
      </c>
      <c r="AD60" s="59" t="inlineStr">
        <is>
          <t xml:space="preserve">unverified_disabled</t>
        </is>
      </c>
      <c r="AE60" s="63" t="inlineStr">
        <is>
          <t xml:space="preserve">OWNER-GATED PROBE; 2026-08-15</t>
        </is>
      </c>
    </row>
    <row r="61">
      <c r="A61" s="59" t="inlineStr">
        <is>
          <t xml:space="preserve">scenario_assist_band</t>
        </is>
      </c>
      <c r="B61" s="59" t="inlineStr">
        <is>
          <t xml:space="preserve">economy/script/64k/no-conspect</t>
        </is>
      </c>
      <c r="C61" s="59" t="inlineStr">
        <is>
          <t xml:space="preserve">qwen/qwen3.5-plus-02-15</t>
        </is>
      </c>
      <c r="D61" s="59" t="inlineStr">
        <is>
          <t xml:space="preserve">OpenRouter</t>
        </is>
      </c>
      <c r="E61" s="59" t="inlineStr">
        <is>
          <t xml:space="preserve">—</t>
        </is>
      </c>
      <c r="F61" s="59">
        <v>0.26</v>
      </c>
      <c r="G61" s="59">
        <v>1.56</v>
      </c>
      <c r="H61" s="59">
        <v>0.0</v>
      </c>
      <c r="I61" s="59">
        <v>0.0</v>
      </c>
      <c r="J61" s="59">
        <v>2</v>
      </c>
      <c r="K61" s="59">
        <v>0</v>
      </c>
      <c r="L61" s="59">
        <v>38400</v>
      </c>
      <c r="M61" s="59">
        <v>1500</v>
      </c>
      <c r="N61" s="59">
        <v>64000</v>
      </c>
      <c r="O61" s="59">
        <v>2500</v>
      </c>
      <c r="P61" s="59">
        <f>J61*(N61*F61+O61*G61)/1000000</f>
        <v>0.04108</v>
      </c>
      <c r="Q61" s="59">
        <f>K61*(N61*H61+O61*I61)/1000000</f>
        <v>0.0</v>
      </c>
      <c r="R61" s="59">
        <f>P61+Q61+0</f>
        <v>0.04108</v>
      </c>
      <c r="S61" s="59">
        <f>P61*IF(D61="OpenRouter",$E$3,$H$3)+Q61*IF(E61="OpenRouter",$E$3,$H$3)+0*$E$3</f>
        <v>4.36195656</v>
      </c>
      <c r="T61" s="60">
        <f>ROUNDUP(S61/($B$4*(1-$Q$4)),0)</f>
        <v>18</v>
      </c>
      <c r="U61" s="59">
        <f>1-S61/(T61*$B$4)</f>
        <v>0.26812784836504966</v>
      </c>
      <c r="V61" s="59">
        <v>0</v>
      </c>
      <c r="W61" s="59">
        <v>0</v>
      </c>
      <c r="X61" s="59">
        <v>3</v>
      </c>
      <c r="Y61" s="63" t="inlineStr">
        <is>
          <t xml:space="preserve">ACTIVE 25% Scenario band; uncached worst-route; conditional conspect; no user content. economy/script/64k/no-conspect</t>
        </is>
      </c>
      <c r="Z61" s="59">
        <v>1.0</v>
      </c>
      <c r="AA61" s="59">
        <v>1.0</v>
      </c>
      <c r="AB61" s="59" t="inlineStr">
        <is>
          <t xml:space="preserve">none</t>
        </is>
      </c>
      <c r="AC61" s="59">
        <v>0</v>
      </c>
      <c r="AD61" s="59" t="inlineStr">
        <is>
          <t xml:space="preserve">unverified_disabled</t>
        </is>
      </c>
      <c r="AE61" s="63" t="inlineStr">
        <is>
          <t xml:space="preserve">OWNER-GATED PROBE; 2026-08-15</t>
        </is>
      </c>
    </row>
    <row r="62">
      <c r="A62" s="59" t="inlineStr">
        <is>
          <t xml:space="preserve">scenario_assist_band</t>
        </is>
      </c>
      <c r="B62" s="59" t="inlineStr">
        <is>
          <t xml:space="preserve">economy/script/64k/conspect</t>
        </is>
      </c>
      <c r="C62" s="59" t="inlineStr">
        <is>
          <t xml:space="preserve">qwen/qwen3.5-plus-02-15</t>
        </is>
      </c>
      <c r="D62" s="59" t="inlineStr">
        <is>
          <t xml:space="preserve">OpenRouter</t>
        </is>
      </c>
      <c r="E62" s="59" t="inlineStr">
        <is>
          <t xml:space="preserve">—</t>
        </is>
      </c>
      <c r="F62" s="59">
        <v>0.26</v>
      </c>
      <c r="G62" s="59">
        <v>1.56</v>
      </c>
      <c r="H62" s="59">
        <v>0.0</v>
      </c>
      <c r="I62" s="59">
        <v>0.0</v>
      </c>
      <c r="J62" s="59">
        <v>2</v>
      </c>
      <c r="K62" s="59">
        <v>0</v>
      </c>
      <c r="L62" s="59">
        <v>38400</v>
      </c>
      <c r="M62" s="59">
        <v>1500</v>
      </c>
      <c r="N62" s="59">
        <v>64000</v>
      </c>
      <c r="O62" s="59">
        <v>2500</v>
      </c>
      <c r="P62" s="59">
        <f>J62*(N62*F62+O62*G62)/1000000</f>
        <v>0.04108</v>
      </c>
      <c r="Q62" s="59">
        <f>K62*(N62*H62+O62*I62)/1000000</f>
        <v>0.0</v>
      </c>
      <c r="R62" s="59">
        <f>P62+Q62+IF("conspect"="conspect",$Q$3*($K$3*0.26+$N$3*1.56)/1000000,0)</f>
        <v>0.058552</v>
      </c>
      <c r="S62" s="59">
        <f>P62*IF(D62="OpenRouter",$E$3,$H$3)+Q62*IF(E62="OpenRouter",$E$3,$H$3)+IF("conspect"="conspect",$Q$3*($K$3*0.26+$N$3*1.56)/1000000,0)*$E$3</f>
        <v>6.217168464</v>
      </c>
      <c r="T62" s="60">
        <f>ROUNDUP(S62/($B$4*(1-$Q$4)),0)</f>
        <v>26</v>
      </c>
      <c r="U62" s="59">
        <f>1-S62/(T62*$B$4)</f>
        <v>0.27781963148309774</v>
      </c>
      <c r="V62" s="59">
        <v>0</v>
      </c>
      <c r="W62" s="59">
        <v>0</v>
      </c>
      <c r="X62" s="59">
        <v>3</v>
      </c>
      <c r="Y62" s="63" t="inlineStr">
        <is>
          <t xml:space="preserve">ACTIVE 25% Scenario band; uncached worst-route; conditional conspect; no user content. economy/script/64k/conspect</t>
        </is>
      </c>
      <c r="Z62" s="59">
        <v>1.0</v>
      </c>
      <c r="AA62" s="59">
        <v>1.0</v>
      </c>
      <c r="AB62" s="59" t="inlineStr">
        <is>
          <t xml:space="preserve">none</t>
        </is>
      </c>
      <c r="AC62" s="59">
        <v>0</v>
      </c>
      <c r="AD62" s="59" t="inlineStr">
        <is>
          <t xml:space="preserve">unverified_disabled</t>
        </is>
      </c>
      <c r="AE62" s="63" t="inlineStr">
        <is>
          <t xml:space="preserve">OWNER-GATED PROBE; 2026-08-15</t>
        </is>
      </c>
    </row>
    <row r="63">
      <c r="A63" s="59" t="inlineStr">
        <is>
          <t xml:space="preserve">scenario_assist_band</t>
        </is>
      </c>
      <c r="B63" s="59" t="inlineStr">
        <is>
          <t xml:space="preserve">economy/script/83_8k/no-conspect</t>
        </is>
      </c>
      <c r="C63" s="59" t="inlineStr">
        <is>
          <t xml:space="preserve">qwen/qwen3.5-plus-02-15</t>
        </is>
      </c>
      <c r="D63" s="59" t="inlineStr">
        <is>
          <t xml:space="preserve">OpenRouter</t>
        </is>
      </c>
      <c r="E63" s="59" t="inlineStr">
        <is>
          <t xml:space="preserve">—</t>
        </is>
      </c>
      <c r="F63" s="59">
        <v>0.26</v>
      </c>
      <c r="G63" s="59">
        <v>1.56</v>
      </c>
      <c r="H63" s="59">
        <v>0.0</v>
      </c>
      <c r="I63" s="59">
        <v>0.0</v>
      </c>
      <c r="J63" s="59">
        <v>2</v>
      </c>
      <c r="K63" s="59">
        <v>0</v>
      </c>
      <c r="L63" s="59">
        <v>50280</v>
      </c>
      <c r="M63" s="59">
        <v>1500</v>
      </c>
      <c r="N63" s="59">
        <v>83800</v>
      </c>
      <c r="O63" s="59">
        <v>2500</v>
      </c>
      <c r="P63" s="59">
        <f>J63*(N63*F63+O63*G63)/1000000</f>
        <v>0.051376</v>
      </c>
      <c r="Q63" s="59">
        <f>K63*(N63*H63+O63*I63)/1000000</f>
        <v>0.0</v>
      </c>
      <c r="R63" s="59">
        <f>P63+Q63+0</f>
        <v>0.051376</v>
      </c>
      <c r="S63" s="59">
        <f>P63*IF(D63="OpenRouter",$E$3,$H$3)+Q63*IF(E63="OpenRouter",$E$3,$H$3)+0*$E$3</f>
        <v>5.455206432</v>
      </c>
      <c r="T63" s="60">
        <f>ROUNDUP(S63/($B$4*(1-$Q$4)),0)</f>
        <v>22</v>
      </c>
      <c r="U63" s="59">
        <f>1-S63/(T63*$B$4)</f>
        <v>0.2511154001912569</v>
      </c>
      <c r="V63" s="59">
        <v>0</v>
      </c>
      <c r="W63" s="59">
        <v>0</v>
      </c>
      <c r="X63" s="59">
        <v>3</v>
      </c>
      <c r="Y63" s="63" t="inlineStr">
        <is>
          <t xml:space="preserve">ACTIVE 25% Scenario band; uncached worst-route; conditional conspect; no user content. economy/script/83_8k/no-conspect</t>
        </is>
      </c>
      <c r="Z63" s="59">
        <v>1.0</v>
      </c>
      <c r="AA63" s="59">
        <v>1.0</v>
      </c>
      <c r="AB63" s="59" t="inlineStr">
        <is>
          <t xml:space="preserve">none</t>
        </is>
      </c>
      <c r="AC63" s="59">
        <v>0</v>
      </c>
      <c r="AD63" s="59" t="inlineStr">
        <is>
          <t xml:space="preserve">unverified_disabled</t>
        </is>
      </c>
      <c r="AE63" s="63" t="inlineStr">
        <is>
          <t xml:space="preserve">OWNER-GATED PROBE; 2026-08-15</t>
        </is>
      </c>
    </row>
    <row r="64">
      <c r="A64" s="59" t="inlineStr">
        <is>
          <t xml:space="preserve">scenario_assist_band</t>
        </is>
      </c>
      <c r="B64" s="59" t="inlineStr">
        <is>
          <t xml:space="preserve">economy/script/83_8k/conspect</t>
        </is>
      </c>
      <c r="C64" s="59" t="inlineStr">
        <is>
          <t xml:space="preserve">qwen/qwen3.5-plus-02-15</t>
        </is>
      </c>
      <c r="D64" s="59" t="inlineStr">
        <is>
          <t xml:space="preserve">OpenRouter</t>
        </is>
      </c>
      <c r="E64" s="59" t="inlineStr">
        <is>
          <t xml:space="preserve">—</t>
        </is>
      </c>
      <c r="F64" s="59">
        <v>0.26</v>
      </c>
      <c r="G64" s="59">
        <v>1.56</v>
      </c>
      <c r="H64" s="59">
        <v>0.0</v>
      </c>
      <c r="I64" s="59">
        <v>0.0</v>
      </c>
      <c r="J64" s="59">
        <v>2</v>
      </c>
      <c r="K64" s="59">
        <v>0</v>
      </c>
      <c r="L64" s="59">
        <v>50280</v>
      </c>
      <c r="M64" s="59">
        <v>1500</v>
      </c>
      <c r="N64" s="59">
        <v>83800</v>
      </c>
      <c r="O64" s="59">
        <v>2500</v>
      </c>
      <c r="P64" s="59">
        <f>J64*(N64*F64+O64*G64)/1000000</f>
        <v>0.051376</v>
      </c>
      <c r="Q64" s="59">
        <f>K64*(N64*H64+O64*I64)/1000000</f>
        <v>0.0</v>
      </c>
      <c r="R64" s="59">
        <f>P64+Q64+IF("conspect"="conspect",$Q$3*($K$3*0.26+$N$3*1.56)/1000000,0)</f>
        <v>0.06884799999999999</v>
      </c>
      <c r="S64" s="59">
        <f>P64*IF(D64="OpenRouter",$E$3,$H$3)+Q64*IF(E64="OpenRouter",$E$3,$H$3)+IF("conspect"="conspect",$Q$3*($K$3*0.26+$N$3*1.56)/1000000,0)*$E$3</f>
        <v>7.310418336</v>
      </c>
      <c r="T64" s="60">
        <f>ROUNDUP(S64/($B$4*(1-$Q$4)),0)</f>
        <v>30</v>
      </c>
      <c r="U64" s="59">
        <f>1-S64/(T64*$B$4)</f>
        <v>0.26405159840657666</v>
      </c>
      <c r="V64" s="59">
        <v>0</v>
      </c>
      <c r="W64" s="59">
        <v>0</v>
      </c>
      <c r="X64" s="59">
        <v>3</v>
      </c>
      <c r="Y64" s="63" t="inlineStr">
        <is>
          <t xml:space="preserve">ACTIVE 25% Scenario band; uncached worst-route; conditional conspect; no user content. economy/script/83_8k/conspect</t>
        </is>
      </c>
      <c r="Z64" s="59">
        <v>1.0</v>
      </c>
      <c r="AA64" s="59">
        <v>1.0</v>
      </c>
      <c r="AB64" s="59" t="inlineStr">
        <is>
          <t xml:space="preserve">none</t>
        </is>
      </c>
      <c r="AC64" s="59">
        <v>0</v>
      </c>
      <c r="AD64" s="59" t="inlineStr">
        <is>
          <t xml:space="preserve">unverified_disabled</t>
        </is>
      </c>
      <c r="AE64" s="63" t="inlineStr">
        <is>
          <t xml:space="preserve">OWNER-GATED PROBE; 2026-08-15</t>
        </is>
      </c>
    </row>
    <row r="65">
      <c r="A65" s="59" t="inlineStr">
        <is>
          <t xml:space="preserve">scenario_assist_band</t>
        </is>
      </c>
      <c r="B65" s="59" t="inlineStr">
        <is>
          <t xml:space="preserve">standard/project/8k/no-conspect</t>
        </is>
      </c>
      <c r="C65" s="59" t="inlineStr">
        <is>
          <t xml:space="preserve">google/gemini-3-flash-preview</t>
        </is>
      </c>
      <c r="D65" s="59" t="inlineStr">
        <is>
          <t xml:space="preserve">Kie</t>
        </is>
      </c>
      <c r="E65" s="59" t="inlineStr">
        <is>
          <t xml:space="preserve">OpenRouter</t>
        </is>
      </c>
      <c r="F65" s="59">
        <v>0.15</v>
      </c>
      <c r="G65" s="59">
        <v>0.9</v>
      </c>
      <c r="H65" s="59">
        <v>0.5</v>
      </c>
      <c r="I65" s="59">
        <v>3.0</v>
      </c>
      <c r="J65" s="59">
        <v>1</v>
      </c>
      <c r="K65" s="59">
        <v>2</v>
      </c>
      <c r="L65" s="59">
        <v>4800</v>
      </c>
      <c r="M65" s="59">
        <v>1200</v>
      </c>
      <c r="N65" s="59">
        <v>8000</v>
      </c>
      <c r="O65" s="59">
        <v>2000</v>
      </c>
      <c r="P65" s="59">
        <f>J65*(N65*F65+O65*G65)/1000000</f>
        <v>0.003</v>
      </c>
      <c r="Q65" s="59">
        <f>K65*(N65*H65+O65*I65)/1000000</f>
        <v>0.02</v>
      </c>
      <c r="R65" s="59">
        <f>P65+Q65+0</f>
        <v>0.023</v>
      </c>
      <c r="S65" s="59">
        <f>P65*IF(D65="OpenRouter",$E$3,$H$3)+Q65*IF(E65="OpenRouter",$E$3,$H$3)+0*$E$3</f>
        <v>2.4255345</v>
      </c>
      <c r="T65" s="60">
        <f>ROUNDUP(S65/($B$4*(1-$Q$4)),0)</f>
        <v>10</v>
      </c>
      <c r="U65" s="59">
        <f>1-S65/(T65*$B$4)</f>
        <v>0.26745577766972406</v>
      </c>
      <c r="V65" s="59">
        <v>0</v>
      </c>
      <c r="W65" s="59">
        <v>0</v>
      </c>
      <c r="X65" s="59">
        <v>3</v>
      </c>
      <c r="Y65" s="63" t="inlineStr">
        <is>
          <t xml:space="preserve">ACTIVE 25% Scenario band; uncached worst-route; conditional conspect; no user content. standard/project/8k/no-conspect</t>
        </is>
      </c>
      <c r="Z65" s="59">
        <v>1.0</v>
      </c>
      <c r="AA65" s="59">
        <v>1.0</v>
      </c>
      <c r="AB65" s="59" t="inlineStr">
        <is>
          <t xml:space="preserve">none</t>
        </is>
      </c>
      <c r="AC65" s="59">
        <v>0</v>
      </c>
      <c r="AD65" s="59" t="inlineStr">
        <is>
          <t xml:space="preserve">unverified_disabled</t>
        </is>
      </c>
      <c r="AE65" s="63" t="inlineStr">
        <is>
          <t xml:space="preserve">OWNER-GATED PROBE; 2026-08-15</t>
        </is>
      </c>
    </row>
    <row r="66">
      <c r="A66" s="59" t="inlineStr">
        <is>
          <t xml:space="preserve">scenario_assist_band</t>
        </is>
      </c>
      <c r="B66" s="59" t="inlineStr">
        <is>
          <t xml:space="preserve">standard/project/8k/conspect</t>
        </is>
      </c>
      <c r="C66" s="59" t="inlineStr">
        <is>
          <t xml:space="preserve">google/gemini-3-flash-preview</t>
        </is>
      </c>
      <c r="D66" s="59" t="inlineStr">
        <is>
          <t xml:space="preserve">Kie</t>
        </is>
      </c>
      <c r="E66" s="59" t="inlineStr">
        <is>
          <t xml:space="preserve">OpenRouter</t>
        </is>
      </c>
      <c r="F66" s="59">
        <v>0.15</v>
      </c>
      <c r="G66" s="59">
        <v>0.9</v>
      </c>
      <c r="H66" s="59">
        <v>0.5</v>
      </c>
      <c r="I66" s="59">
        <v>3.0</v>
      </c>
      <c r="J66" s="59">
        <v>1</v>
      </c>
      <c r="K66" s="59">
        <v>2</v>
      </c>
      <c r="L66" s="59">
        <v>4800</v>
      </c>
      <c r="M66" s="59">
        <v>1200</v>
      </c>
      <c r="N66" s="59">
        <v>8000</v>
      </c>
      <c r="O66" s="59">
        <v>2000</v>
      </c>
      <c r="P66" s="59">
        <f>J66*(N66*F66+O66*G66)/1000000</f>
        <v>0.003</v>
      </c>
      <c r="Q66" s="59">
        <f>K66*(N66*H66+O66*I66)/1000000</f>
        <v>0.02</v>
      </c>
      <c r="R66" s="59">
        <f>P66+Q66+IF("conspect"="conspect",$Q$3*($K$3*0.26+$N$3*1.56)/1000000,0)</f>
        <v>0.040472</v>
      </c>
      <c r="S66" s="59">
        <f>P66*IF(D66="OpenRouter",$E$3,$H$3)+Q66*IF(E66="OpenRouter",$E$3,$H$3)+IF("conspect"="conspect",$Q$3*($K$3*0.26+$N$3*1.56)/1000000,0)*$E$3</f>
        <v>4.280746404</v>
      </c>
      <c r="T66" s="60">
        <f>ROUNDUP(S66/($B$4*(1-$Q$4)),0)</f>
        <v>18</v>
      </c>
      <c r="U66" s="59">
        <f>1-S66/(T66*$B$4)</f>
        <v>0.2817537180381603</v>
      </c>
      <c r="V66" s="59">
        <v>0</v>
      </c>
      <c r="W66" s="59">
        <v>0</v>
      </c>
      <c r="X66" s="59">
        <v>3</v>
      </c>
      <c r="Y66" s="63" t="inlineStr">
        <is>
          <t xml:space="preserve">ACTIVE 25% Scenario band; uncached worst-route; conditional conspect; no user content. standard/project/8k/conspect</t>
        </is>
      </c>
      <c r="Z66" s="59">
        <v>1.0</v>
      </c>
      <c r="AA66" s="59">
        <v>1.0</v>
      </c>
      <c r="AB66" s="59" t="inlineStr">
        <is>
          <t xml:space="preserve">none</t>
        </is>
      </c>
      <c r="AC66" s="59">
        <v>0</v>
      </c>
      <c r="AD66" s="59" t="inlineStr">
        <is>
          <t xml:space="preserve">unverified_disabled</t>
        </is>
      </c>
      <c r="AE66" s="63" t="inlineStr">
        <is>
          <t xml:space="preserve">OWNER-GATED PROBE; 2026-08-15</t>
        </is>
      </c>
    </row>
    <row r="67">
      <c r="A67" s="59" t="inlineStr">
        <is>
          <t xml:space="preserve">scenario_assist_band</t>
        </is>
      </c>
      <c r="B67" s="59" t="inlineStr">
        <is>
          <t xml:space="preserve">standard/project/16k/no-conspect</t>
        </is>
      </c>
      <c r="C67" s="59" t="inlineStr">
        <is>
          <t xml:space="preserve">google/gemini-3-flash-preview</t>
        </is>
      </c>
      <c r="D67" s="59" t="inlineStr">
        <is>
          <t xml:space="preserve">Kie</t>
        </is>
      </c>
      <c r="E67" s="59" t="inlineStr">
        <is>
          <t xml:space="preserve">OpenRouter</t>
        </is>
      </c>
      <c r="F67" s="59">
        <v>0.15</v>
      </c>
      <c r="G67" s="59">
        <v>0.9</v>
      </c>
      <c r="H67" s="59">
        <v>0.5</v>
      </c>
      <c r="I67" s="59">
        <v>3.0</v>
      </c>
      <c r="J67" s="59">
        <v>1</v>
      </c>
      <c r="K67" s="59">
        <v>2</v>
      </c>
      <c r="L67" s="59">
        <v>9600</v>
      </c>
      <c r="M67" s="59">
        <v>1200</v>
      </c>
      <c r="N67" s="59">
        <v>16000</v>
      </c>
      <c r="O67" s="59">
        <v>2000</v>
      </c>
      <c r="P67" s="59">
        <f>J67*(N67*F67+O67*G67)/1000000</f>
        <v>0.0042</v>
      </c>
      <c r="Q67" s="59">
        <f>K67*(N67*H67+O67*I67)/1000000</f>
        <v>0.028</v>
      </c>
      <c r="R67" s="59">
        <f>P67+Q67+0</f>
        <v>0.0322</v>
      </c>
      <c r="S67" s="59">
        <f>P67*IF(D67="OpenRouter",$E$3,$H$3)+Q67*IF(E67="OpenRouter",$E$3,$H$3)+0*$E$3</f>
        <v>3.3957483</v>
      </c>
      <c r="T67" s="60">
        <f>ROUNDUP(S67/($B$4*(1-$Q$4)),0)</f>
        <v>14</v>
      </c>
      <c r="U67" s="59">
        <f>1-S67/(T67*$B$4)</f>
        <v>0.26745577766972406</v>
      </c>
      <c r="V67" s="59">
        <v>0</v>
      </c>
      <c r="W67" s="59">
        <v>0</v>
      </c>
      <c r="X67" s="59">
        <v>3</v>
      </c>
      <c r="Y67" s="63" t="inlineStr">
        <is>
          <t xml:space="preserve">ACTIVE 25% Scenario band; uncached worst-route; conditional conspect; no user content. standard/project/16k/no-conspect</t>
        </is>
      </c>
      <c r="Z67" s="59">
        <v>1.0</v>
      </c>
      <c r="AA67" s="59">
        <v>1.0</v>
      </c>
      <c r="AB67" s="59" t="inlineStr">
        <is>
          <t xml:space="preserve">none</t>
        </is>
      </c>
      <c r="AC67" s="59">
        <v>0</v>
      </c>
      <c r="AD67" s="59" t="inlineStr">
        <is>
          <t xml:space="preserve">unverified_disabled</t>
        </is>
      </c>
      <c r="AE67" s="63" t="inlineStr">
        <is>
          <t xml:space="preserve">OWNER-GATED PROBE; 2026-08-15</t>
        </is>
      </c>
    </row>
    <row r="68">
      <c r="A68" s="59" t="inlineStr">
        <is>
          <t xml:space="preserve">scenario_assist_band</t>
        </is>
      </c>
      <c r="B68" s="59" t="inlineStr">
        <is>
          <t xml:space="preserve">standard/project/16k/conspect</t>
        </is>
      </c>
      <c r="C68" s="59" t="inlineStr">
        <is>
          <t xml:space="preserve">google/gemini-3-flash-preview</t>
        </is>
      </c>
      <c r="D68" s="59" t="inlineStr">
        <is>
          <t xml:space="preserve">Kie</t>
        </is>
      </c>
      <c r="E68" s="59" t="inlineStr">
        <is>
          <t xml:space="preserve">OpenRouter</t>
        </is>
      </c>
      <c r="F68" s="59">
        <v>0.15</v>
      </c>
      <c r="G68" s="59">
        <v>0.9</v>
      </c>
      <c r="H68" s="59">
        <v>0.5</v>
      </c>
      <c r="I68" s="59">
        <v>3.0</v>
      </c>
      <c r="J68" s="59">
        <v>1</v>
      </c>
      <c r="K68" s="59">
        <v>2</v>
      </c>
      <c r="L68" s="59">
        <v>9600</v>
      </c>
      <c r="M68" s="59">
        <v>1200</v>
      </c>
      <c r="N68" s="59">
        <v>16000</v>
      </c>
      <c r="O68" s="59">
        <v>2000</v>
      </c>
      <c r="P68" s="59">
        <f>J68*(N68*F68+O68*G68)/1000000</f>
        <v>0.0042</v>
      </c>
      <c r="Q68" s="59">
        <f>K68*(N68*H68+O68*I68)/1000000</f>
        <v>0.028</v>
      </c>
      <c r="R68" s="59">
        <f>P68+Q68+IF("conspect"="conspect",$Q$3*($K$3*0.26+$N$3*1.56)/1000000,0)</f>
        <v>0.049672</v>
      </c>
      <c r="S68" s="59">
        <f>P68*IF(D68="OpenRouter",$E$3,$H$3)+Q68*IF(E68="OpenRouter",$E$3,$H$3)+IF("conspect"="conspect",$Q$3*($K$3*0.26+$N$3*1.56)/1000000,0)*$E$3</f>
        <v>5.250960204</v>
      </c>
      <c r="T68" s="60">
        <f>ROUNDUP(S68/($B$4*(1-$Q$4)),0)</f>
        <v>22</v>
      </c>
      <c r="U68" s="59">
        <f>1-S68/(T68*$B$4)</f>
        <v>0.2791540925166265</v>
      </c>
      <c r="V68" s="59">
        <v>0</v>
      </c>
      <c r="W68" s="59">
        <v>0</v>
      </c>
      <c r="X68" s="59">
        <v>3</v>
      </c>
      <c r="Y68" s="63" t="inlineStr">
        <is>
          <t xml:space="preserve">ACTIVE 25% Scenario band; uncached worst-route; conditional conspect; no user content. standard/project/16k/conspect</t>
        </is>
      </c>
      <c r="Z68" s="59">
        <v>1.0</v>
      </c>
      <c r="AA68" s="59">
        <v>1.0</v>
      </c>
      <c r="AB68" s="59" t="inlineStr">
        <is>
          <t xml:space="preserve">none</t>
        </is>
      </c>
      <c r="AC68" s="59">
        <v>0</v>
      </c>
      <c r="AD68" s="59" t="inlineStr">
        <is>
          <t xml:space="preserve">unverified_disabled</t>
        </is>
      </c>
      <c r="AE68" s="63" t="inlineStr">
        <is>
          <t xml:space="preserve">OWNER-GATED PROBE; 2026-08-15</t>
        </is>
      </c>
    </row>
    <row r="69">
      <c r="A69" s="59" t="inlineStr">
        <is>
          <t xml:space="preserve">scenario_assist_band</t>
        </is>
      </c>
      <c r="B69" s="59" t="inlineStr">
        <is>
          <t xml:space="preserve">standard/project/24k/no-conspect</t>
        </is>
      </c>
      <c r="C69" s="59" t="inlineStr">
        <is>
          <t xml:space="preserve">google/gemini-3-flash-preview</t>
        </is>
      </c>
      <c r="D69" s="59" t="inlineStr">
        <is>
          <t xml:space="preserve">Kie</t>
        </is>
      </c>
      <c r="E69" s="59" t="inlineStr">
        <is>
          <t xml:space="preserve">OpenRouter</t>
        </is>
      </c>
      <c r="F69" s="59">
        <v>0.15</v>
      </c>
      <c r="G69" s="59">
        <v>0.9</v>
      </c>
      <c r="H69" s="59">
        <v>0.5</v>
      </c>
      <c r="I69" s="59">
        <v>3.0</v>
      </c>
      <c r="J69" s="59">
        <v>1</v>
      </c>
      <c r="K69" s="59">
        <v>2</v>
      </c>
      <c r="L69" s="59">
        <v>14400</v>
      </c>
      <c r="M69" s="59">
        <v>1200</v>
      </c>
      <c r="N69" s="59">
        <v>24000</v>
      </c>
      <c r="O69" s="59">
        <v>2000</v>
      </c>
      <c r="P69" s="59">
        <f>J69*(N69*F69+O69*G69)/1000000</f>
        <v>0.0054</v>
      </c>
      <c r="Q69" s="59">
        <f>K69*(N69*H69+O69*I69)/1000000</f>
        <v>0.036</v>
      </c>
      <c r="R69" s="59">
        <f>P69+Q69+0</f>
        <v>0.0414</v>
      </c>
      <c r="S69" s="59">
        <f>P69*IF(D69="OpenRouter",$E$3,$H$3)+Q69*IF(E69="OpenRouter",$E$3,$H$3)+0*$E$3</f>
        <v>4.3659621</v>
      </c>
      <c r="T69" s="60">
        <f>ROUNDUP(S69/($B$4*(1-$Q$4)),0)</f>
        <v>18</v>
      </c>
      <c r="U69" s="59">
        <f>1-S69/(T69*$B$4)</f>
        <v>0.26745577766972406</v>
      </c>
      <c r="V69" s="59">
        <v>0</v>
      </c>
      <c r="W69" s="59">
        <v>0</v>
      </c>
      <c r="X69" s="59">
        <v>3</v>
      </c>
      <c r="Y69" s="63" t="inlineStr">
        <is>
          <t xml:space="preserve">ACTIVE 25% Scenario band; uncached worst-route; conditional conspect; no user content. standard/project/24k/no-conspect</t>
        </is>
      </c>
      <c r="Z69" s="59">
        <v>1.0</v>
      </c>
      <c r="AA69" s="59">
        <v>1.0</v>
      </c>
      <c r="AB69" s="59" t="inlineStr">
        <is>
          <t xml:space="preserve">none</t>
        </is>
      </c>
      <c r="AC69" s="59">
        <v>0</v>
      </c>
      <c r="AD69" s="59" t="inlineStr">
        <is>
          <t xml:space="preserve">unverified_disabled</t>
        </is>
      </c>
      <c r="AE69" s="63" t="inlineStr">
        <is>
          <t xml:space="preserve">OWNER-GATED PROBE; 2026-08-15</t>
        </is>
      </c>
    </row>
    <row r="70">
      <c r="A70" s="59" t="inlineStr">
        <is>
          <t xml:space="preserve">scenario_assist_band</t>
        </is>
      </c>
      <c r="B70" s="59" t="inlineStr">
        <is>
          <t xml:space="preserve">standard/project/24k/conspect</t>
        </is>
      </c>
      <c r="C70" s="59" t="inlineStr">
        <is>
          <t xml:space="preserve">google/gemini-3-flash-preview</t>
        </is>
      </c>
      <c r="D70" s="59" t="inlineStr">
        <is>
          <t xml:space="preserve">Kie</t>
        </is>
      </c>
      <c r="E70" s="59" t="inlineStr">
        <is>
          <t xml:space="preserve">OpenRouter</t>
        </is>
      </c>
      <c r="F70" s="59">
        <v>0.15</v>
      </c>
      <c r="G70" s="59">
        <v>0.9</v>
      </c>
      <c r="H70" s="59">
        <v>0.5</v>
      </c>
      <c r="I70" s="59">
        <v>3.0</v>
      </c>
      <c r="J70" s="59">
        <v>1</v>
      </c>
      <c r="K70" s="59">
        <v>2</v>
      </c>
      <c r="L70" s="59">
        <v>14400</v>
      </c>
      <c r="M70" s="59">
        <v>1200</v>
      </c>
      <c r="N70" s="59">
        <v>24000</v>
      </c>
      <c r="O70" s="59">
        <v>2000</v>
      </c>
      <c r="P70" s="59">
        <f>J70*(N70*F70+O70*G70)/1000000</f>
        <v>0.0054</v>
      </c>
      <c r="Q70" s="59">
        <f>K70*(N70*H70+O70*I70)/1000000</f>
        <v>0.036</v>
      </c>
      <c r="R70" s="59">
        <f>P70+Q70+IF("conspect"="conspect",$Q$3*($K$3*0.26+$N$3*1.56)/1000000,0)</f>
        <v>0.058872</v>
      </c>
      <c r="S70" s="59">
        <f>P70*IF(D70="OpenRouter",$E$3,$H$3)+Q70*IF(E70="OpenRouter",$E$3,$H$3)+IF("conspect"="conspect",$Q$3*($K$3*0.26+$N$3*1.56)/1000000,0)*$E$3</f>
        <v>6.221174004</v>
      </c>
      <c r="T70" s="60">
        <f>ROUNDUP(S70/($B$4*(1-$Q$4)),0)</f>
        <v>26</v>
      </c>
      <c r="U70" s="59">
        <f>1-S70/(T70*$B$4)</f>
        <v>0.27735435177094925</v>
      </c>
      <c r="V70" s="59">
        <v>0</v>
      </c>
      <c r="W70" s="59">
        <v>0</v>
      </c>
      <c r="X70" s="59">
        <v>3</v>
      </c>
      <c r="Y70" s="63" t="inlineStr">
        <is>
          <t xml:space="preserve">ACTIVE 25% Scenario band; uncached worst-route; conditional conspect; no user content. standard/project/24k/conspect</t>
        </is>
      </c>
      <c r="Z70" s="59">
        <v>1.0</v>
      </c>
      <c r="AA70" s="59">
        <v>1.0</v>
      </c>
      <c r="AB70" s="59" t="inlineStr">
        <is>
          <t xml:space="preserve">none</t>
        </is>
      </c>
      <c r="AC70" s="59">
        <v>0</v>
      </c>
      <c r="AD70" s="59" t="inlineStr">
        <is>
          <t xml:space="preserve">unverified_disabled</t>
        </is>
      </c>
      <c r="AE70" s="63" t="inlineStr">
        <is>
          <t xml:space="preserve">OWNER-GATED PROBE; 2026-08-15</t>
        </is>
      </c>
    </row>
    <row r="71">
      <c r="A71" s="59" t="inlineStr">
        <is>
          <t xml:space="preserve">scenario_assist_band</t>
        </is>
      </c>
      <c r="B71" s="59" t="inlineStr">
        <is>
          <t xml:space="preserve">standard/span/8k/no-conspect</t>
        </is>
      </c>
      <c r="C71" s="59" t="inlineStr">
        <is>
          <t xml:space="preserve">google/gemini-3-flash-preview</t>
        </is>
      </c>
      <c r="D71" s="59" t="inlineStr">
        <is>
          <t xml:space="preserve">Kie</t>
        </is>
      </c>
      <c r="E71" s="59" t="inlineStr">
        <is>
          <t xml:space="preserve">OpenRouter</t>
        </is>
      </c>
      <c r="F71" s="59">
        <v>0.15</v>
      </c>
      <c r="G71" s="59">
        <v>0.9</v>
      </c>
      <c r="H71" s="59">
        <v>0.5</v>
      </c>
      <c r="I71" s="59">
        <v>3.0</v>
      </c>
      <c r="J71" s="59">
        <v>1</v>
      </c>
      <c r="K71" s="59">
        <v>2</v>
      </c>
      <c r="L71" s="59">
        <v>4800</v>
      </c>
      <c r="M71" s="59">
        <v>900</v>
      </c>
      <c r="N71" s="59">
        <v>8000</v>
      </c>
      <c r="O71" s="59">
        <v>1500</v>
      </c>
      <c r="P71" s="59">
        <f>J71*(N71*F71+O71*G71)/1000000</f>
        <v>0.00255</v>
      </c>
      <c r="Q71" s="59">
        <f>K71*(N71*H71+O71*I71)/1000000</f>
        <v>0.017</v>
      </c>
      <c r="R71" s="59">
        <f>P71+Q71+0</f>
        <v>0.01955</v>
      </c>
      <c r="S71" s="59">
        <f>P71*IF(D71="OpenRouter",$E$3,$H$3)+Q71*IF(E71="OpenRouter",$E$3,$H$3)+0*$E$3</f>
        <v>2.061704325</v>
      </c>
      <c r="T71" s="60">
        <f>ROUNDUP(S71/($B$4*(1-$Q$4)),0)</f>
        <v>9</v>
      </c>
      <c r="U71" s="59">
        <f>1-S71/(T71*$B$4)</f>
        <v>0.30815267891029485</v>
      </c>
      <c r="V71" s="59">
        <v>0</v>
      </c>
      <c r="W71" s="59">
        <v>0</v>
      </c>
      <c r="X71" s="59">
        <v>3</v>
      </c>
      <c r="Y71" s="63" t="inlineStr">
        <is>
          <t xml:space="preserve">ACTIVE 25% Scenario band; uncached worst-route; conditional conspect; no user content. standard/span/8k/no-conspect</t>
        </is>
      </c>
      <c r="Z71" s="59">
        <v>1.0</v>
      </c>
      <c r="AA71" s="59">
        <v>1.0</v>
      </c>
      <c r="AB71" s="59" t="inlineStr">
        <is>
          <t xml:space="preserve">none</t>
        </is>
      </c>
      <c r="AC71" s="59">
        <v>0</v>
      </c>
      <c r="AD71" s="59" t="inlineStr">
        <is>
          <t xml:space="preserve">unverified_disabled</t>
        </is>
      </c>
      <c r="AE71" s="63" t="inlineStr">
        <is>
          <t xml:space="preserve">OWNER-GATED PROBE; 2026-08-15</t>
        </is>
      </c>
    </row>
    <row r="72">
      <c r="A72" s="59" t="inlineStr">
        <is>
          <t xml:space="preserve">scenario_assist_band</t>
        </is>
      </c>
      <c r="B72" s="59" t="inlineStr">
        <is>
          <t xml:space="preserve">standard/span/8k/conspect</t>
        </is>
      </c>
      <c r="C72" s="59" t="inlineStr">
        <is>
          <t xml:space="preserve">google/gemini-3-flash-preview</t>
        </is>
      </c>
      <c r="D72" s="59" t="inlineStr">
        <is>
          <t xml:space="preserve">Kie</t>
        </is>
      </c>
      <c r="E72" s="59" t="inlineStr">
        <is>
          <t xml:space="preserve">OpenRouter</t>
        </is>
      </c>
      <c r="F72" s="59">
        <v>0.15</v>
      </c>
      <c r="G72" s="59">
        <v>0.9</v>
      </c>
      <c r="H72" s="59">
        <v>0.5</v>
      </c>
      <c r="I72" s="59">
        <v>3.0</v>
      </c>
      <c r="J72" s="59">
        <v>1</v>
      </c>
      <c r="K72" s="59">
        <v>2</v>
      </c>
      <c r="L72" s="59">
        <v>4800</v>
      </c>
      <c r="M72" s="59">
        <v>900</v>
      </c>
      <c r="N72" s="59">
        <v>8000</v>
      </c>
      <c r="O72" s="59">
        <v>1500</v>
      </c>
      <c r="P72" s="59">
        <f>J72*(N72*F72+O72*G72)/1000000</f>
        <v>0.00255</v>
      </c>
      <c r="Q72" s="59">
        <f>K72*(N72*H72+O72*I72)/1000000</f>
        <v>0.017</v>
      </c>
      <c r="R72" s="59">
        <f>P72+Q72+IF("conspect"="conspect",$Q$3*($K$3*0.26+$N$3*1.56)/1000000,0)</f>
        <v>0.037022</v>
      </c>
      <c r="S72" s="59">
        <f>P72*IF(D72="OpenRouter",$E$3,$H$3)+Q72*IF(E72="OpenRouter",$E$3,$H$3)+IF("conspect"="conspect",$Q$3*($K$3*0.26+$N$3*1.56)/1000000,0)*$E$3</f>
        <v>3.916916229</v>
      </c>
      <c r="T72" s="60">
        <f>ROUNDUP(S72/($B$4*(1-$Q$4)),0)</f>
        <v>16</v>
      </c>
      <c r="U72" s="59">
        <f>1-S72/(T72*$B$4)</f>
        <v>0.26064895363639384</v>
      </c>
      <c r="V72" s="59">
        <v>0</v>
      </c>
      <c r="W72" s="59">
        <v>0</v>
      </c>
      <c r="X72" s="59">
        <v>3</v>
      </c>
      <c r="Y72" s="63" t="inlineStr">
        <is>
          <t xml:space="preserve">ACTIVE 25% Scenario band; uncached worst-route; conditional conspect; no user content. standard/span/8k/conspect</t>
        </is>
      </c>
      <c r="Z72" s="59">
        <v>1.0</v>
      </c>
      <c r="AA72" s="59">
        <v>1.0</v>
      </c>
      <c r="AB72" s="59" t="inlineStr">
        <is>
          <t xml:space="preserve">none</t>
        </is>
      </c>
      <c r="AC72" s="59">
        <v>0</v>
      </c>
      <c r="AD72" s="59" t="inlineStr">
        <is>
          <t xml:space="preserve">unverified_disabled</t>
        </is>
      </c>
      <c r="AE72" s="63" t="inlineStr">
        <is>
          <t xml:space="preserve">OWNER-GATED PROBE; 2026-08-15</t>
        </is>
      </c>
    </row>
    <row r="73">
      <c r="A73" s="59" t="inlineStr">
        <is>
          <t xml:space="preserve">scenario_assist_band</t>
        </is>
      </c>
      <c r="B73" s="59" t="inlineStr">
        <is>
          <t xml:space="preserve">standard/span/16k/no-conspect</t>
        </is>
      </c>
      <c r="C73" s="59" t="inlineStr">
        <is>
          <t xml:space="preserve">google/gemini-3-flash-preview</t>
        </is>
      </c>
      <c r="D73" s="59" t="inlineStr">
        <is>
          <t xml:space="preserve">Kie</t>
        </is>
      </c>
      <c r="E73" s="59" t="inlineStr">
        <is>
          <t xml:space="preserve">OpenRouter</t>
        </is>
      </c>
      <c r="F73" s="59">
        <v>0.15</v>
      </c>
      <c r="G73" s="59">
        <v>0.9</v>
      </c>
      <c r="H73" s="59">
        <v>0.5</v>
      </c>
      <c r="I73" s="59">
        <v>3.0</v>
      </c>
      <c r="J73" s="59">
        <v>1</v>
      </c>
      <c r="K73" s="59">
        <v>2</v>
      </c>
      <c r="L73" s="59">
        <v>9600</v>
      </c>
      <c r="M73" s="59">
        <v>900</v>
      </c>
      <c r="N73" s="59">
        <v>16000</v>
      </c>
      <c r="O73" s="59">
        <v>1500</v>
      </c>
      <c r="P73" s="59">
        <f>J73*(N73*F73+O73*G73)/1000000</f>
        <v>0.00375</v>
      </c>
      <c r="Q73" s="59">
        <f>K73*(N73*H73+O73*I73)/1000000</f>
        <v>0.025</v>
      </c>
      <c r="R73" s="59">
        <f>P73+Q73+0</f>
        <v>0.02875</v>
      </c>
      <c r="S73" s="59">
        <f>P73*IF(D73="OpenRouter",$E$3,$H$3)+Q73*IF(E73="OpenRouter",$E$3,$H$3)+0*$E$3</f>
        <v>3.0319181250000002</v>
      </c>
      <c r="T73" s="60">
        <f>ROUNDUP(S73/($B$4*(1-$Q$4)),0)</f>
        <v>13</v>
      </c>
      <c r="U73" s="59">
        <f>1-S73/(T73*$B$4)</f>
        <v>0.29563055545165773</v>
      </c>
      <c r="V73" s="59">
        <v>0</v>
      </c>
      <c r="W73" s="59">
        <v>0</v>
      </c>
      <c r="X73" s="59">
        <v>3</v>
      </c>
      <c r="Y73" s="63" t="inlineStr">
        <is>
          <t xml:space="preserve">ACTIVE 25% Scenario band; uncached worst-route; conditional conspect; no user content. standard/span/16k/no-conspect</t>
        </is>
      </c>
      <c r="Z73" s="59">
        <v>1.0</v>
      </c>
      <c r="AA73" s="59">
        <v>1.0</v>
      </c>
      <c r="AB73" s="59" t="inlineStr">
        <is>
          <t xml:space="preserve">none</t>
        </is>
      </c>
      <c r="AC73" s="59">
        <v>0</v>
      </c>
      <c r="AD73" s="59" t="inlineStr">
        <is>
          <t xml:space="preserve">unverified_disabled</t>
        </is>
      </c>
      <c r="AE73" s="63" t="inlineStr">
        <is>
          <t xml:space="preserve">OWNER-GATED PROBE; 2026-08-15</t>
        </is>
      </c>
    </row>
    <row r="74">
      <c r="A74" s="59" t="inlineStr">
        <is>
          <t xml:space="preserve">scenario_assist_band</t>
        </is>
      </c>
      <c r="B74" s="59" t="inlineStr">
        <is>
          <t xml:space="preserve">standard/span/16k/conspect</t>
        </is>
      </c>
      <c r="C74" s="59" t="inlineStr">
        <is>
          <t xml:space="preserve">google/gemini-3-flash-preview</t>
        </is>
      </c>
      <c r="D74" s="59" t="inlineStr">
        <is>
          <t xml:space="preserve">Kie</t>
        </is>
      </c>
      <c r="E74" s="59" t="inlineStr">
        <is>
          <t xml:space="preserve">OpenRouter</t>
        </is>
      </c>
      <c r="F74" s="59">
        <v>0.15</v>
      </c>
      <c r="G74" s="59">
        <v>0.9</v>
      </c>
      <c r="H74" s="59">
        <v>0.5</v>
      </c>
      <c r="I74" s="59">
        <v>3.0</v>
      </c>
      <c r="J74" s="59">
        <v>1</v>
      </c>
      <c r="K74" s="59">
        <v>2</v>
      </c>
      <c r="L74" s="59">
        <v>9600</v>
      </c>
      <c r="M74" s="59">
        <v>900</v>
      </c>
      <c r="N74" s="59">
        <v>16000</v>
      </c>
      <c r="O74" s="59">
        <v>1500</v>
      </c>
      <c r="P74" s="59">
        <f>J74*(N74*F74+O74*G74)/1000000</f>
        <v>0.00375</v>
      </c>
      <c r="Q74" s="59">
        <f>K74*(N74*H74+O74*I74)/1000000</f>
        <v>0.025</v>
      </c>
      <c r="R74" s="59">
        <f>P74+Q74+IF("conspect"="conspect",$Q$3*($K$3*0.26+$N$3*1.56)/1000000,0)</f>
        <v>0.046222</v>
      </c>
      <c r="S74" s="59">
        <f>P74*IF(D74="OpenRouter",$E$3,$H$3)+Q74*IF(E74="OpenRouter",$E$3,$H$3)+IF("conspect"="conspect",$Q$3*($K$3*0.26+$N$3*1.56)/1000000,0)*$E$3</f>
        <v>4.887130029000001</v>
      </c>
      <c r="T74" s="60">
        <f>ROUNDUP(S74/($B$4*(1-$Q$4)),0)</f>
        <v>20</v>
      </c>
      <c r="U74" s="59">
        <f>1-S74/(T74*$B$4)</f>
        <v>0.2620103184430598</v>
      </c>
      <c r="V74" s="59">
        <v>0</v>
      </c>
      <c r="W74" s="59">
        <v>0</v>
      </c>
      <c r="X74" s="59">
        <v>3</v>
      </c>
      <c r="Y74" s="63" t="inlineStr">
        <is>
          <t xml:space="preserve">ACTIVE 25% Scenario band; uncached worst-route; conditional conspect; no user content. standard/span/16k/conspect</t>
        </is>
      </c>
      <c r="Z74" s="59">
        <v>1.0</v>
      </c>
      <c r="AA74" s="59">
        <v>1.0</v>
      </c>
      <c r="AB74" s="59" t="inlineStr">
        <is>
          <t xml:space="preserve">none</t>
        </is>
      </c>
      <c r="AC74" s="59">
        <v>0</v>
      </c>
      <c r="AD74" s="59" t="inlineStr">
        <is>
          <t xml:space="preserve">unverified_disabled</t>
        </is>
      </c>
      <c r="AE74" s="63" t="inlineStr">
        <is>
          <t xml:space="preserve">OWNER-GATED PROBE; 2026-08-15</t>
        </is>
      </c>
    </row>
    <row r="75">
      <c r="A75" s="59" t="inlineStr">
        <is>
          <t xml:space="preserve">scenario_assist_band</t>
        </is>
      </c>
      <c r="B75" s="59" t="inlineStr">
        <is>
          <t xml:space="preserve">standard/span/22_4k/no-conspect</t>
        </is>
      </c>
      <c r="C75" s="59" t="inlineStr">
        <is>
          <t xml:space="preserve">google/gemini-3-flash-preview</t>
        </is>
      </c>
      <c r="D75" s="59" t="inlineStr">
        <is>
          <t xml:space="preserve">Kie</t>
        </is>
      </c>
      <c r="E75" s="59" t="inlineStr">
        <is>
          <t xml:space="preserve">OpenRouter</t>
        </is>
      </c>
      <c r="F75" s="59">
        <v>0.15</v>
      </c>
      <c r="G75" s="59">
        <v>0.9</v>
      </c>
      <c r="H75" s="59">
        <v>0.5</v>
      </c>
      <c r="I75" s="59">
        <v>3.0</v>
      </c>
      <c r="J75" s="59">
        <v>1</v>
      </c>
      <c r="K75" s="59">
        <v>2</v>
      </c>
      <c r="L75" s="59">
        <v>13440</v>
      </c>
      <c r="M75" s="59">
        <v>900</v>
      </c>
      <c r="N75" s="59">
        <v>22400</v>
      </c>
      <c r="O75" s="59">
        <v>1500</v>
      </c>
      <c r="P75" s="59">
        <f>J75*(N75*F75+O75*G75)/1000000</f>
        <v>0.00471</v>
      </c>
      <c r="Q75" s="59">
        <f>K75*(N75*H75+O75*I75)/1000000</f>
        <v>0.0314</v>
      </c>
      <c r="R75" s="59">
        <f>P75+Q75+0</f>
        <v>0.036109999999999996</v>
      </c>
      <c r="S75" s="59">
        <f>P75*IF(D75="OpenRouter",$E$3,$H$3)+Q75*IF(E75="OpenRouter",$E$3,$H$3)+0*$E$3</f>
        <v>3.8080891649999997</v>
      </c>
      <c r="T75" s="60">
        <f>ROUNDUP(S75/($B$4*(1-$Q$4)),0)</f>
        <v>16</v>
      </c>
      <c r="U75" s="59">
        <f>1-S75/(T75*$B$4)</f>
        <v>0.28119098183841673</v>
      </c>
      <c r="V75" s="59">
        <v>0</v>
      </c>
      <c r="W75" s="59">
        <v>0</v>
      </c>
      <c r="X75" s="59">
        <v>3</v>
      </c>
      <c r="Y75" s="63" t="inlineStr">
        <is>
          <t xml:space="preserve">ACTIVE 25% Scenario band; uncached worst-route; conditional conspect; no user content. standard/span/22_4k/no-conspect</t>
        </is>
      </c>
      <c r="Z75" s="59">
        <v>1.0</v>
      </c>
      <c r="AA75" s="59">
        <v>1.0</v>
      </c>
      <c r="AB75" s="59" t="inlineStr">
        <is>
          <t xml:space="preserve">none</t>
        </is>
      </c>
      <c r="AC75" s="59">
        <v>0</v>
      </c>
      <c r="AD75" s="59" t="inlineStr">
        <is>
          <t xml:space="preserve">unverified_disabled</t>
        </is>
      </c>
      <c r="AE75" s="63" t="inlineStr">
        <is>
          <t xml:space="preserve">OWNER-GATED PROBE; 2026-08-15</t>
        </is>
      </c>
    </row>
    <row r="76">
      <c r="A76" s="59" t="inlineStr">
        <is>
          <t xml:space="preserve">scenario_assist_band</t>
        </is>
      </c>
      <c r="B76" s="59" t="inlineStr">
        <is>
          <t xml:space="preserve">standard/span/22_4k/conspect</t>
        </is>
      </c>
      <c r="C76" s="59" t="inlineStr">
        <is>
          <t xml:space="preserve">google/gemini-3-flash-preview</t>
        </is>
      </c>
      <c r="D76" s="59" t="inlineStr">
        <is>
          <t xml:space="preserve">Kie</t>
        </is>
      </c>
      <c r="E76" s="59" t="inlineStr">
        <is>
          <t xml:space="preserve">OpenRouter</t>
        </is>
      </c>
      <c r="F76" s="59">
        <v>0.15</v>
      </c>
      <c r="G76" s="59">
        <v>0.9</v>
      </c>
      <c r="H76" s="59">
        <v>0.5</v>
      </c>
      <c r="I76" s="59">
        <v>3.0</v>
      </c>
      <c r="J76" s="59">
        <v>1</v>
      </c>
      <c r="K76" s="59">
        <v>2</v>
      </c>
      <c r="L76" s="59">
        <v>13440</v>
      </c>
      <c r="M76" s="59">
        <v>900</v>
      </c>
      <c r="N76" s="59">
        <v>22400</v>
      </c>
      <c r="O76" s="59">
        <v>1500</v>
      </c>
      <c r="P76" s="59">
        <f>J76*(N76*F76+O76*G76)/1000000</f>
        <v>0.00471</v>
      </c>
      <c r="Q76" s="59">
        <f>K76*(N76*H76+O76*I76)/1000000</f>
        <v>0.0314</v>
      </c>
      <c r="R76" s="59">
        <f>P76+Q76+IF("conspect"="conspect",$Q$3*($K$3*0.26+$N$3*1.56)/1000000,0)</f>
        <v>0.053582</v>
      </c>
      <c r="S76" s="59">
        <f>P76*IF(D76="OpenRouter",$E$3,$H$3)+Q76*IF(E76="OpenRouter",$E$3,$H$3)+IF("conspect"="conspect",$Q$3*($K$3*0.26+$N$3*1.56)/1000000,0)*$E$3</f>
        <v>5.663301069</v>
      </c>
      <c r="T76" s="60">
        <f>ROUNDUP(S76/($B$4*(1-$Q$4)),0)</f>
        <v>23</v>
      </c>
      <c r="U76" s="59">
        <f>1-S76/(T76*$B$4)</f>
        <v>0.2563506459741005</v>
      </c>
      <c r="V76" s="59">
        <v>0</v>
      </c>
      <c r="W76" s="59">
        <v>0</v>
      </c>
      <c r="X76" s="59">
        <v>3</v>
      </c>
      <c r="Y76" s="63" t="inlineStr">
        <is>
          <t xml:space="preserve">ACTIVE 25% Scenario band; uncached worst-route; conditional conspect; no user content. standard/span/22_4k/conspect</t>
        </is>
      </c>
      <c r="Z76" s="59">
        <v>1.0</v>
      </c>
      <c r="AA76" s="59">
        <v>1.0</v>
      </c>
      <c r="AB76" s="59" t="inlineStr">
        <is>
          <t xml:space="preserve">none</t>
        </is>
      </c>
      <c r="AC76" s="59">
        <v>0</v>
      </c>
      <c r="AD76" s="59" t="inlineStr">
        <is>
          <t xml:space="preserve">unverified_disabled</t>
        </is>
      </c>
      <c r="AE76" s="63" t="inlineStr">
        <is>
          <t xml:space="preserve">OWNER-GATED PROBE; 2026-08-15</t>
        </is>
      </c>
    </row>
    <row r="77">
      <c r="A77" s="59" t="inlineStr">
        <is>
          <t xml:space="preserve">scenario_assist_band</t>
        </is>
      </c>
      <c r="B77" s="59" t="inlineStr">
        <is>
          <t xml:space="preserve">standard/scene/8k/no-conspect</t>
        </is>
      </c>
      <c r="C77" s="59" t="inlineStr">
        <is>
          <t xml:space="preserve">google/gemini-3-flash-preview</t>
        </is>
      </c>
      <c r="D77" s="59" t="inlineStr">
        <is>
          <t xml:space="preserve">Kie</t>
        </is>
      </c>
      <c r="E77" s="59" t="inlineStr">
        <is>
          <t xml:space="preserve">OpenRouter</t>
        </is>
      </c>
      <c r="F77" s="59">
        <v>0.15</v>
      </c>
      <c r="G77" s="59">
        <v>0.9</v>
      </c>
      <c r="H77" s="59">
        <v>0.5</v>
      </c>
      <c r="I77" s="59">
        <v>3.0</v>
      </c>
      <c r="J77" s="59">
        <v>1</v>
      </c>
      <c r="K77" s="59">
        <v>2</v>
      </c>
      <c r="L77" s="59">
        <v>4800</v>
      </c>
      <c r="M77" s="59">
        <v>1200</v>
      </c>
      <c r="N77" s="59">
        <v>8000</v>
      </c>
      <c r="O77" s="59">
        <v>2000</v>
      </c>
      <c r="P77" s="59">
        <f>J77*(N77*F77+O77*G77)/1000000</f>
        <v>0.003</v>
      </c>
      <c r="Q77" s="59">
        <f>K77*(N77*H77+O77*I77)/1000000</f>
        <v>0.02</v>
      </c>
      <c r="R77" s="59">
        <f>P77+Q77+0</f>
        <v>0.023</v>
      </c>
      <c r="S77" s="59">
        <f>P77*IF(D77="OpenRouter",$E$3,$H$3)+Q77*IF(E77="OpenRouter",$E$3,$H$3)+0*$E$3</f>
        <v>2.4255345</v>
      </c>
      <c r="T77" s="60">
        <f>ROUNDUP(S77/($B$4*(1-$Q$4)),0)</f>
        <v>10</v>
      </c>
      <c r="U77" s="59">
        <f>1-S77/(T77*$B$4)</f>
        <v>0.26745577766972406</v>
      </c>
      <c r="V77" s="59">
        <v>0</v>
      </c>
      <c r="W77" s="59">
        <v>0</v>
      </c>
      <c r="X77" s="59">
        <v>3</v>
      </c>
      <c r="Y77" s="63" t="inlineStr">
        <is>
          <t xml:space="preserve">ACTIVE 25% Scenario band; uncached worst-route; conditional conspect; no user content. standard/scene/8k/no-conspect</t>
        </is>
      </c>
      <c r="Z77" s="59">
        <v>1.0</v>
      </c>
      <c r="AA77" s="59">
        <v>1.0</v>
      </c>
      <c r="AB77" s="59" t="inlineStr">
        <is>
          <t xml:space="preserve">none</t>
        </is>
      </c>
      <c r="AC77" s="59">
        <v>0</v>
      </c>
      <c r="AD77" s="59" t="inlineStr">
        <is>
          <t xml:space="preserve">unverified_disabled</t>
        </is>
      </c>
      <c r="AE77" s="63" t="inlineStr">
        <is>
          <t xml:space="preserve">OWNER-GATED PROBE; 2026-08-15</t>
        </is>
      </c>
    </row>
    <row r="78">
      <c r="A78" s="59" t="inlineStr">
        <is>
          <t xml:space="preserve">scenario_assist_band</t>
        </is>
      </c>
      <c r="B78" s="59" t="inlineStr">
        <is>
          <t xml:space="preserve">standard/scene/8k/conspect</t>
        </is>
      </c>
      <c r="C78" s="59" t="inlineStr">
        <is>
          <t xml:space="preserve">google/gemini-3-flash-preview</t>
        </is>
      </c>
      <c r="D78" s="59" t="inlineStr">
        <is>
          <t xml:space="preserve">Kie</t>
        </is>
      </c>
      <c r="E78" s="59" t="inlineStr">
        <is>
          <t xml:space="preserve">OpenRouter</t>
        </is>
      </c>
      <c r="F78" s="59">
        <v>0.15</v>
      </c>
      <c r="G78" s="59">
        <v>0.9</v>
      </c>
      <c r="H78" s="59">
        <v>0.5</v>
      </c>
      <c r="I78" s="59">
        <v>3.0</v>
      </c>
      <c r="J78" s="59">
        <v>1</v>
      </c>
      <c r="K78" s="59">
        <v>2</v>
      </c>
      <c r="L78" s="59">
        <v>4800</v>
      </c>
      <c r="M78" s="59">
        <v>1200</v>
      </c>
      <c r="N78" s="59">
        <v>8000</v>
      </c>
      <c r="O78" s="59">
        <v>2000</v>
      </c>
      <c r="P78" s="59">
        <f>J78*(N78*F78+O78*G78)/1000000</f>
        <v>0.003</v>
      </c>
      <c r="Q78" s="59">
        <f>K78*(N78*H78+O78*I78)/1000000</f>
        <v>0.02</v>
      </c>
      <c r="R78" s="59">
        <f>P78+Q78+IF("conspect"="conspect",$Q$3*($K$3*0.26+$N$3*1.56)/1000000,0)</f>
        <v>0.040472</v>
      </c>
      <c r="S78" s="59">
        <f>P78*IF(D78="OpenRouter",$E$3,$H$3)+Q78*IF(E78="OpenRouter",$E$3,$H$3)+IF("conspect"="conspect",$Q$3*($K$3*0.26+$N$3*1.56)/1000000,0)*$E$3</f>
        <v>4.280746404</v>
      </c>
      <c r="T78" s="60">
        <f>ROUNDUP(S78/($B$4*(1-$Q$4)),0)</f>
        <v>18</v>
      </c>
      <c r="U78" s="59">
        <f>1-S78/(T78*$B$4)</f>
        <v>0.2817537180381603</v>
      </c>
      <c r="V78" s="59">
        <v>0</v>
      </c>
      <c r="W78" s="59">
        <v>0</v>
      </c>
      <c r="X78" s="59">
        <v>3</v>
      </c>
      <c r="Y78" s="63" t="inlineStr">
        <is>
          <t xml:space="preserve">ACTIVE 25% Scenario band; uncached worst-route; conditional conspect; no user content. standard/scene/8k/conspect</t>
        </is>
      </c>
      <c r="Z78" s="59">
        <v>1.0</v>
      </c>
      <c r="AA78" s="59">
        <v>1.0</v>
      </c>
      <c r="AB78" s="59" t="inlineStr">
        <is>
          <t xml:space="preserve">none</t>
        </is>
      </c>
      <c r="AC78" s="59">
        <v>0</v>
      </c>
      <c r="AD78" s="59" t="inlineStr">
        <is>
          <t xml:space="preserve">unverified_disabled</t>
        </is>
      </c>
      <c r="AE78" s="63" t="inlineStr">
        <is>
          <t xml:space="preserve">OWNER-GATED PROBE; 2026-08-15</t>
        </is>
      </c>
    </row>
    <row r="79">
      <c r="A79" s="59" t="inlineStr">
        <is>
          <t xml:space="preserve">scenario_assist_band</t>
        </is>
      </c>
      <c r="B79" s="59" t="inlineStr">
        <is>
          <t xml:space="preserve">standard/scene/16k/no-conspect</t>
        </is>
      </c>
      <c r="C79" s="59" t="inlineStr">
        <is>
          <t xml:space="preserve">google/gemini-3-flash-preview</t>
        </is>
      </c>
      <c r="D79" s="59" t="inlineStr">
        <is>
          <t xml:space="preserve">Kie</t>
        </is>
      </c>
      <c r="E79" s="59" t="inlineStr">
        <is>
          <t xml:space="preserve">OpenRouter</t>
        </is>
      </c>
      <c r="F79" s="59">
        <v>0.15</v>
      </c>
      <c r="G79" s="59">
        <v>0.9</v>
      </c>
      <c r="H79" s="59">
        <v>0.5</v>
      </c>
      <c r="I79" s="59">
        <v>3.0</v>
      </c>
      <c r="J79" s="59">
        <v>1</v>
      </c>
      <c r="K79" s="59">
        <v>2</v>
      </c>
      <c r="L79" s="59">
        <v>9600</v>
      </c>
      <c r="M79" s="59">
        <v>1200</v>
      </c>
      <c r="N79" s="59">
        <v>16000</v>
      </c>
      <c r="O79" s="59">
        <v>2000</v>
      </c>
      <c r="P79" s="59">
        <f>J79*(N79*F79+O79*G79)/1000000</f>
        <v>0.0042</v>
      </c>
      <c r="Q79" s="59">
        <f>K79*(N79*H79+O79*I79)/1000000</f>
        <v>0.028</v>
      </c>
      <c r="R79" s="59">
        <f>P79+Q79+0</f>
        <v>0.0322</v>
      </c>
      <c r="S79" s="59">
        <f>P79*IF(D79="OpenRouter",$E$3,$H$3)+Q79*IF(E79="OpenRouter",$E$3,$H$3)+0*$E$3</f>
        <v>3.3957483</v>
      </c>
      <c r="T79" s="60">
        <f>ROUNDUP(S79/($B$4*(1-$Q$4)),0)</f>
        <v>14</v>
      </c>
      <c r="U79" s="59">
        <f>1-S79/(T79*$B$4)</f>
        <v>0.26745577766972406</v>
      </c>
      <c r="V79" s="59">
        <v>0</v>
      </c>
      <c r="W79" s="59">
        <v>0</v>
      </c>
      <c r="X79" s="59">
        <v>3</v>
      </c>
      <c r="Y79" s="63" t="inlineStr">
        <is>
          <t xml:space="preserve">ACTIVE 25% Scenario band; uncached worst-route; conditional conspect; no user content. standard/scene/16k/no-conspect</t>
        </is>
      </c>
      <c r="Z79" s="59">
        <v>1.0</v>
      </c>
      <c r="AA79" s="59">
        <v>1.0</v>
      </c>
      <c r="AB79" s="59" t="inlineStr">
        <is>
          <t xml:space="preserve">none</t>
        </is>
      </c>
      <c r="AC79" s="59">
        <v>0</v>
      </c>
      <c r="AD79" s="59" t="inlineStr">
        <is>
          <t xml:space="preserve">unverified_disabled</t>
        </is>
      </c>
      <c r="AE79" s="63" t="inlineStr">
        <is>
          <t xml:space="preserve">OWNER-GATED PROBE; 2026-08-15</t>
        </is>
      </c>
    </row>
    <row r="80">
      <c r="A80" s="59" t="inlineStr">
        <is>
          <t xml:space="preserve">scenario_assist_band</t>
        </is>
      </c>
      <c r="B80" s="59" t="inlineStr">
        <is>
          <t xml:space="preserve">standard/scene/16k/conspect</t>
        </is>
      </c>
      <c r="C80" s="59" t="inlineStr">
        <is>
          <t xml:space="preserve">google/gemini-3-flash-preview</t>
        </is>
      </c>
      <c r="D80" s="59" t="inlineStr">
        <is>
          <t xml:space="preserve">Kie</t>
        </is>
      </c>
      <c r="E80" s="59" t="inlineStr">
        <is>
          <t xml:space="preserve">OpenRouter</t>
        </is>
      </c>
      <c r="F80" s="59">
        <v>0.15</v>
      </c>
      <c r="G80" s="59">
        <v>0.9</v>
      </c>
      <c r="H80" s="59">
        <v>0.5</v>
      </c>
      <c r="I80" s="59">
        <v>3.0</v>
      </c>
      <c r="J80" s="59">
        <v>1</v>
      </c>
      <c r="K80" s="59">
        <v>2</v>
      </c>
      <c r="L80" s="59">
        <v>9600</v>
      </c>
      <c r="M80" s="59">
        <v>1200</v>
      </c>
      <c r="N80" s="59">
        <v>16000</v>
      </c>
      <c r="O80" s="59">
        <v>2000</v>
      </c>
      <c r="P80" s="59">
        <f>J80*(N80*F80+O80*G80)/1000000</f>
        <v>0.0042</v>
      </c>
      <c r="Q80" s="59">
        <f>K80*(N80*H80+O80*I80)/1000000</f>
        <v>0.028</v>
      </c>
      <c r="R80" s="59">
        <f>P80+Q80+IF("conspect"="conspect",$Q$3*($K$3*0.26+$N$3*1.56)/1000000,0)</f>
        <v>0.049672</v>
      </c>
      <c r="S80" s="59">
        <f>P80*IF(D80="OpenRouter",$E$3,$H$3)+Q80*IF(E80="OpenRouter",$E$3,$H$3)+IF("conspect"="conspect",$Q$3*($K$3*0.26+$N$3*1.56)/1000000,0)*$E$3</f>
        <v>5.250960204</v>
      </c>
      <c r="T80" s="60">
        <f>ROUNDUP(S80/($B$4*(1-$Q$4)),0)</f>
        <v>22</v>
      </c>
      <c r="U80" s="59">
        <f>1-S80/(T80*$B$4)</f>
        <v>0.2791540925166265</v>
      </c>
      <c r="V80" s="59">
        <v>0</v>
      </c>
      <c r="W80" s="59">
        <v>0</v>
      </c>
      <c r="X80" s="59">
        <v>3</v>
      </c>
      <c r="Y80" s="63" t="inlineStr">
        <is>
          <t xml:space="preserve">ACTIVE 25% Scenario band; uncached worst-route; conditional conspect; no user content. standard/scene/16k/conspect</t>
        </is>
      </c>
      <c r="Z80" s="59">
        <v>1.0</v>
      </c>
      <c r="AA80" s="59">
        <v>1.0</v>
      </c>
      <c r="AB80" s="59" t="inlineStr">
        <is>
          <t xml:space="preserve">none</t>
        </is>
      </c>
      <c r="AC80" s="59">
        <v>0</v>
      </c>
      <c r="AD80" s="59" t="inlineStr">
        <is>
          <t xml:space="preserve">unverified_disabled</t>
        </is>
      </c>
      <c r="AE80" s="63" t="inlineStr">
        <is>
          <t xml:space="preserve">OWNER-GATED PROBE; 2026-08-15</t>
        </is>
      </c>
    </row>
    <row r="81">
      <c r="A81" s="59" t="inlineStr">
        <is>
          <t xml:space="preserve">scenario_assist_band</t>
        </is>
      </c>
      <c r="B81" s="59" t="inlineStr">
        <is>
          <t xml:space="preserve">standard/scene/28k/no-conspect</t>
        </is>
      </c>
      <c r="C81" s="59" t="inlineStr">
        <is>
          <t xml:space="preserve">google/gemini-3-flash-preview</t>
        </is>
      </c>
      <c r="D81" s="59" t="inlineStr">
        <is>
          <t xml:space="preserve">Kie</t>
        </is>
      </c>
      <c r="E81" s="59" t="inlineStr">
        <is>
          <t xml:space="preserve">OpenRouter</t>
        </is>
      </c>
      <c r="F81" s="59">
        <v>0.15</v>
      </c>
      <c r="G81" s="59">
        <v>0.9</v>
      </c>
      <c r="H81" s="59">
        <v>0.5</v>
      </c>
      <c r="I81" s="59">
        <v>3.0</v>
      </c>
      <c r="J81" s="59">
        <v>1</v>
      </c>
      <c r="K81" s="59">
        <v>2</v>
      </c>
      <c r="L81" s="59">
        <v>16800</v>
      </c>
      <c r="M81" s="59">
        <v>1200</v>
      </c>
      <c r="N81" s="59">
        <v>28000</v>
      </c>
      <c r="O81" s="59">
        <v>2000</v>
      </c>
      <c r="P81" s="59">
        <f>J81*(N81*F81+O81*G81)/1000000</f>
        <v>0.006</v>
      </c>
      <c r="Q81" s="59">
        <f>K81*(N81*H81+O81*I81)/1000000</f>
        <v>0.04</v>
      </c>
      <c r="R81" s="59">
        <f>P81+Q81+0</f>
        <v>0.046</v>
      </c>
      <c r="S81" s="59">
        <f>P81*IF(D81="OpenRouter",$E$3,$H$3)+Q81*IF(E81="OpenRouter",$E$3,$H$3)+0*$E$3</f>
        <v>4.851069</v>
      </c>
      <c r="T81" s="60">
        <f>ROUNDUP(S81/($B$4*(1-$Q$4)),0)</f>
        <v>20</v>
      </c>
      <c r="U81" s="59">
        <f>1-S81/(T81*$B$4)</f>
        <v>0.26745577766972406</v>
      </c>
      <c r="V81" s="59">
        <v>0</v>
      </c>
      <c r="W81" s="59">
        <v>0</v>
      </c>
      <c r="X81" s="59">
        <v>3</v>
      </c>
      <c r="Y81" s="63" t="inlineStr">
        <is>
          <t xml:space="preserve">ACTIVE 25% Scenario band; uncached worst-route; conditional conspect; no user content. standard/scene/28k/no-conspect</t>
        </is>
      </c>
      <c r="Z81" s="59">
        <v>1.0</v>
      </c>
      <c r="AA81" s="59">
        <v>1.0</v>
      </c>
      <c r="AB81" s="59" t="inlineStr">
        <is>
          <t xml:space="preserve">none</t>
        </is>
      </c>
      <c r="AC81" s="59">
        <v>0</v>
      </c>
      <c r="AD81" s="59" t="inlineStr">
        <is>
          <t xml:space="preserve">unverified_disabled</t>
        </is>
      </c>
      <c r="AE81" s="63" t="inlineStr">
        <is>
          <t xml:space="preserve">OWNER-GATED PROBE; 2026-08-15</t>
        </is>
      </c>
    </row>
    <row r="82">
      <c r="A82" s="59" t="inlineStr">
        <is>
          <t xml:space="preserve">scenario_assist_band</t>
        </is>
      </c>
      <c r="B82" s="59" t="inlineStr">
        <is>
          <t xml:space="preserve">standard/scene/28k/conspect</t>
        </is>
      </c>
      <c r="C82" s="59" t="inlineStr">
        <is>
          <t xml:space="preserve">google/gemini-3-flash-preview</t>
        </is>
      </c>
      <c r="D82" s="59" t="inlineStr">
        <is>
          <t xml:space="preserve">Kie</t>
        </is>
      </c>
      <c r="E82" s="59" t="inlineStr">
        <is>
          <t xml:space="preserve">OpenRouter</t>
        </is>
      </c>
      <c r="F82" s="59">
        <v>0.15</v>
      </c>
      <c r="G82" s="59">
        <v>0.9</v>
      </c>
      <c r="H82" s="59">
        <v>0.5</v>
      </c>
      <c r="I82" s="59">
        <v>3.0</v>
      </c>
      <c r="J82" s="59">
        <v>1</v>
      </c>
      <c r="K82" s="59">
        <v>2</v>
      </c>
      <c r="L82" s="59">
        <v>16800</v>
      </c>
      <c r="M82" s="59">
        <v>1200</v>
      </c>
      <c r="N82" s="59">
        <v>28000</v>
      </c>
      <c r="O82" s="59">
        <v>2000</v>
      </c>
      <c r="P82" s="59">
        <f>J82*(N82*F82+O82*G82)/1000000</f>
        <v>0.006</v>
      </c>
      <c r="Q82" s="59">
        <f>K82*(N82*H82+O82*I82)/1000000</f>
        <v>0.04</v>
      </c>
      <c r="R82" s="59">
        <f>P82+Q82+IF("conspect"="conspect",$Q$3*($K$3*0.26+$N$3*1.56)/1000000,0)</f>
        <v>0.063472</v>
      </c>
      <c r="S82" s="59">
        <f>P82*IF(D82="OpenRouter",$E$3,$H$3)+Q82*IF(E82="OpenRouter",$E$3,$H$3)+IF("conspect"="conspect",$Q$3*($K$3*0.26+$N$3*1.56)/1000000,0)*$E$3</f>
        <v>6.706280904</v>
      </c>
      <c r="T82" s="60">
        <f>ROUNDUP(S82/($B$4*(1-$Q$4)),0)</f>
        <v>28</v>
      </c>
      <c r="U82" s="59">
        <f>1-S82/(T82*$B$4)</f>
        <v>0.27664731076371885</v>
      </c>
      <c r="V82" s="59">
        <v>0</v>
      </c>
      <c r="W82" s="59">
        <v>0</v>
      </c>
      <c r="X82" s="59">
        <v>3</v>
      </c>
      <c r="Y82" s="63" t="inlineStr">
        <is>
          <t xml:space="preserve">ACTIVE 25% Scenario band; uncached worst-route; conditional conspect; no user content. standard/scene/28k/conspect</t>
        </is>
      </c>
      <c r="Z82" s="59">
        <v>1.0</v>
      </c>
      <c r="AA82" s="59">
        <v>1.0</v>
      </c>
      <c r="AB82" s="59" t="inlineStr">
        <is>
          <t xml:space="preserve">none</t>
        </is>
      </c>
      <c r="AC82" s="59">
        <v>0</v>
      </c>
      <c r="AD82" s="59" t="inlineStr">
        <is>
          <t xml:space="preserve">unverified_disabled</t>
        </is>
      </c>
      <c r="AE82" s="63" t="inlineStr">
        <is>
          <t xml:space="preserve">OWNER-GATED PROBE; 2026-08-15</t>
        </is>
      </c>
    </row>
    <row r="83">
      <c r="A83" s="59" t="inlineStr">
        <is>
          <t xml:space="preserve">scenario_assist_band</t>
        </is>
      </c>
      <c r="B83" s="59" t="inlineStr">
        <is>
          <t xml:space="preserve">standard/script/16k/no-conspect</t>
        </is>
      </c>
      <c r="C83" s="59" t="inlineStr">
        <is>
          <t xml:space="preserve">google/gemini-3-flash-preview</t>
        </is>
      </c>
      <c r="D83" s="59" t="inlineStr">
        <is>
          <t xml:space="preserve">Kie</t>
        </is>
      </c>
      <c r="E83" s="59" t="inlineStr">
        <is>
          <t xml:space="preserve">OpenRouter</t>
        </is>
      </c>
      <c r="F83" s="59">
        <v>0.15</v>
      </c>
      <c r="G83" s="59">
        <v>0.9</v>
      </c>
      <c r="H83" s="59">
        <v>0.5</v>
      </c>
      <c r="I83" s="59">
        <v>3.0</v>
      </c>
      <c r="J83" s="59">
        <v>1</v>
      </c>
      <c r="K83" s="59">
        <v>2</v>
      </c>
      <c r="L83" s="59">
        <v>9600</v>
      </c>
      <c r="M83" s="59">
        <v>1500</v>
      </c>
      <c r="N83" s="59">
        <v>16000</v>
      </c>
      <c r="O83" s="59">
        <v>2500</v>
      </c>
      <c r="P83" s="59">
        <f>J83*(N83*F83+O83*G83)/1000000</f>
        <v>0.00465</v>
      </c>
      <c r="Q83" s="59">
        <f>K83*(N83*H83+O83*I83)/1000000</f>
        <v>0.031</v>
      </c>
      <c r="R83" s="59">
        <f>P83+Q83+0</f>
        <v>0.03565</v>
      </c>
      <c r="S83" s="59">
        <f>P83*IF(D83="OpenRouter",$E$3,$H$3)+Q83*IF(E83="OpenRouter",$E$3,$H$3)+0*$E$3</f>
        <v>3.759578475</v>
      </c>
      <c r="T83" s="60">
        <f>ROUNDUP(S83/($B$4*(1-$Q$4)),0)</f>
        <v>16</v>
      </c>
      <c r="U83" s="59">
        <f>1-S83/(T83*$B$4)</f>
        <v>0.2903477846175452</v>
      </c>
      <c r="V83" s="59">
        <v>0</v>
      </c>
      <c r="W83" s="59">
        <v>0</v>
      </c>
      <c r="X83" s="59">
        <v>3</v>
      </c>
      <c r="Y83" s="63" t="inlineStr">
        <is>
          <t xml:space="preserve">ACTIVE 25% Scenario band; uncached worst-route; conditional conspect; no user content. standard/script/16k/no-conspect</t>
        </is>
      </c>
      <c r="Z83" s="59">
        <v>1.0</v>
      </c>
      <c r="AA83" s="59">
        <v>1.0</v>
      </c>
      <c r="AB83" s="59" t="inlineStr">
        <is>
          <t xml:space="preserve">none</t>
        </is>
      </c>
      <c r="AC83" s="59">
        <v>0</v>
      </c>
      <c r="AD83" s="59" t="inlineStr">
        <is>
          <t xml:space="preserve">unverified_disabled</t>
        </is>
      </c>
      <c r="AE83" s="63" t="inlineStr">
        <is>
          <t xml:space="preserve">OWNER-GATED PROBE; 2026-08-15</t>
        </is>
      </c>
    </row>
    <row r="84">
      <c r="A84" s="59" t="inlineStr">
        <is>
          <t xml:space="preserve">scenario_assist_band</t>
        </is>
      </c>
      <c r="B84" s="59" t="inlineStr">
        <is>
          <t xml:space="preserve">standard/script/16k/conspect</t>
        </is>
      </c>
      <c r="C84" s="59" t="inlineStr">
        <is>
          <t xml:space="preserve">google/gemini-3-flash-preview</t>
        </is>
      </c>
      <c r="D84" s="59" t="inlineStr">
        <is>
          <t xml:space="preserve">Kie</t>
        </is>
      </c>
      <c r="E84" s="59" t="inlineStr">
        <is>
          <t xml:space="preserve">OpenRouter</t>
        </is>
      </c>
      <c r="F84" s="59">
        <v>0.15</v>
      </c>
      <c r="G84" s="59">
        <v>0.9</v>
      </c>
      <c r="H84" s="59">
        <v>0.5</v>
      </c>
      <c r="I84" s="59">
        <v>3.0</v>
      </c>
      <c r="J84" s="59">
        <v>1</v>
      </c>
      <c r="K84" s="59">
        <v>2</v>
      </c>
      <c r="L84" s="59">
        <v>9600</v>
      </c>
      <c r="M84" s="59">
        <v>1500</v>
      </c>
      <c r="N84" s="59">
        <v>16000</v>
      </c>
      <c r="O84" s="59">
        <v>2500</v>
      </c>
      <c r="P84" s="59">
        <f>J84*(N84*F84+O84*G84)/1000000</f>
        <v>0.00465</v>
      </c>
      <c r="Q84" s="59">
        <f>K84*(N84*H84+O84*I84)/1000000</f>
        <v>0.031</v>
      </c>
      <c r="R84" s="59">
        <f>P84+Q84+IF("conspect"="conspect",$Q$3*($K$3*0.26+$N$3*1.56)/1000000,0)</f>
        <v>0.053122</v>
      </c>
      <c r="S84" s="59">
        <f>P84*IF(D84="OpenRouter",$E$3,$H$3)+Q84*IF(E84="OpenRouter",$E$3,$H$3)+IF("conspect"="conspect",$Q$3*($K$3*0.26+$N$3*1.56)/1000000,0)*$E$3</f>
        <v>5.614790379</v>
      </c>
      <c r="T84" s="60">
        <f>ROUNDUP(S84/($B$4*(1-$Q$4)),0)</f>
        <v>23</v>
      </c>
      <c r="U84" s="59">
        <f>1-S84/(T84*$B$4)</f>
        <v>0.26272059573349427</v>
      </c>
      <c r="V84" s="59">
        <v>0</v>
      </c>
      <c r="W84" s="59">
        <v>0</v>
      </c>
      <c r="X84" s="59">
        <v>3</v>
      </c>
      <c r="Y84" s="63" t="inlineStr">
        <is>
          <t xml:space="preserve">ACTIVE 25% Scenario band; uncached worst-route; conditional conspect; no user content. standard/script/16k/conspect</t>
        </is>
      </c>
      <c r="Z84" s="59">
        <v>1.0</v>
      </c>
      <c r="AA84" s="59">
        <v>1.0</v>
      </c>
      <c r="AB84" s="59" t="inlineStr">
        <is>
          <t xml:space="preserve">none</t>
        </is>
      </c>
      <c r="AC84" s="59">
        <v>0</v>
      </c>
      <c r="AD84" s="59" t="inlineStr">
        <is>
          <t xml:space="preserve">unverified_disabled</t>
        </is>
      </c>
      <c r="AE84" s="63" t="inlineStr">
        <is>
          <t xml:space="preserve">OWNER-GATED PROBE; 2026-08-15</t>
        </is>
      </c>
    </row>
    <row r="85">
      <c r="A85" s="59" t="inlineStr">
        <is>
          <t xml:space="preserve">scenario_assist_band</t>
        </is>
      </c>
      <c r="B85" s="59" t="inlineStr">
        <is>
          <t xml:space="preserve">standard/script/32k/no-conspect</t>
        </is>
      </c>
      <c r="C85" s="59" t="inlineStr">
        <is>
          <t xml:space="preserve">google/gemini-3-flash-preview</t>
        </is>
      </c>
      <c r="D85" s="59" t="inlineStr">
        <is>
          <t xml:space="preserve">Kie</t>
        </is>
      </c>
      <c r="E85" s="59" t="inlineStr">
        <is>
          <t xml:space="preserve">OpenRouter</t>
        </is>
      </c>
      <c r="F85" s="59">
        <v>0.15</v>
      </c>
      <c r="G85" s="59">
        <v>0.9</v>
      </c>
      <c r="H85" s="59">
        <v>0.5</v>
      </c>
      <c r="I85" s="59">
        <v>3.0</v>
      </c>
      <c r="J85" s="59">
        <v>1</v>
      </c>
      <c r="K85" s="59">
        <v>2</v>
      </c>
      <c r="L85" s="59">
        <v>19200</v>
      </c>
      <c r="M85" s="59">
        <v>1500</v>
      </c>
      <c r="N85" s="59">
        <v>32000</v>
      </c>
      <c r="O85" s="59">
        <v>2500</v>
      </c>
      <c r="P85" s="59">
        <f>J85*(N85*F85+O85*G85)/1000000</f>
        <v>0.00705</v>
      </c>
      <c r="Q85" s="59">
        <f>K85*(N85*H85+O85*I85)/1000000</f>
        <v>0.047</v>
      </c>
      <c r="R85" s="59">
        <f>P85+Q85+0</f>
        <v>0.05405</v>
      </c>
      <c r="S85" s="59">
        <f>P85*IF(D85="OpenRouter",$E$3,$H$3)+Q85*IF(E85="OpenRouter",$E$3,$H$3)+0*$E$3</f>
        <v>5.700006075</v>
      </c>
      <c r="T85" s="60">
        <f>ROUNDUP(S85/($B$4*(1-$Q$4)),0)</f>
        <v>23</v>
      </c>
      <c r="U85" s="59">
        <f>1-S85/(T85*$B$4)</f>
        <v>0.2515309032712397</v>
      </c>
      <c r="V85" s="59">
        <v>0</v>
      </c>
      <c r="W85" s="59">
        <v>0</v>
      </c>
      <c r="X85" s="59">
        <v>3</v>
      </c>
      <c r="Y85" s="63" t="inlineStr">
        <is>
          <t xml:space="preserve">ACTIVE 25% Scenario band; uncached worst-route; conditional conspect; no user content. standard/script/32k/no-conspect</t>
        </is>
      </c>
      <c r="Z85" s="59">
        <v>1.0</v>
      </c>
      <c r="AA85" s="59">
        <v>1.0</v>
      </c>
      <c r="AB85" s="59" t="inlineStr">
        <is>
          <t xml:space="preserve">none</t>
        </is>
      </c>
      <c r="AC85" s="59">
        <v>0</v>
      </c>
      <c r="AD85" s="59" t="inlineStr">
        <is>
          <t xml:space="preserve">unverified_disabled</t>
        </is>
      </c>
      <c r="AE85" s="63" t="inlineStr">
        <is>
          <t xml:space="preserve">OWNER-GATED PROBE; 2026-08-15</t>
        </is>
      </c>
    </row>
    <row r="86">
      <c r="A86" s="59" t="inlineStr">
        <is>
          <t xml:space="preserve">scenario_assist_band</t>
        </is>
      </c>
      <c r="B86" s="59" t="inlineStr">
        <is>
          <t xml:space="preserve">standard/script/32k/conspect</t>
        </is>
      </c>
      <c r="C86" s="59" t="inlineStr">
        <is>
          <t xml:space="preserve">google/gemini-3-flash-preview</t>
        </is>
      </c>
      <c r="D86" s="59" t="inlineStr">
        <is>
          <t xml:space="preserve">Kie</t>
        </is>
      </c>
      <c r="E86" s="59" t="inlineStr">
        <is>
          <t xml:space="preserve">OpenRouter</t>
        </is>
      </c>
      <c r="F86" s="59">
        <v>0.15</v>
      </c>
      <c r="G86" s="59">
        <v>0.9</v>
      </c>
      <c r="H86" s="59">
        <v>0.5</v>
      </c>
      <c r="I86" s="59">
        <v>3.0</v>
      </c>
      <c r="J86" s="59">
        <v>1</v>
      </c>
      <c r="K86" s="59">
        <v>2</v>
      </c>
      <c r="L86" s="59">
        <v>19200</v>
      </c>
      <c r="M86" s="59">
        <v>1500</v>
      </c>
      <c r="N86" s="59">
        <v>32000</v>
      </c>
      <c r="O86" s="59">
        <v>2500</v>
      </c>
      <c r="P86" s="59">
        <f>J86*(N86*F86+O86*G86)/1000000</f>
        <v>0.00705</v>
      </c>
      <c r="Q86" s="59">
        <f>K86*(N86*H86+O86*I86)/1000000</f>
        <v>0.047</v>
      </c>
      <c r="R86" s="59">
        <f>P86+Q86+IF("conspect"="conspect",$Q$3*($K$3*0.26+$N$3*1.56)/1000000,0)</f>
        <v>0.071522</v>
      </c>
      <c r="S86" s="59">
        <f>P86*IF(D86="OpenRouter",$E$3,$H$3)+Q86*IF(E86="OpenRouter",$E$3,$H$3)+IF("conspect"="conspect",$Q$3*($K$3*0.26+$N$3*1.56)/1000000,0)*$E$3</f>
        <v>7.555217979</v>
      </c>
      <c r="T86" s="60">
        <f>ROUNDUP(S86/($B$4*(1-$Q$4)),0)</f>
        <v>31</v>
      </c>
      <c r="U86" s="59">
        <f>1-S86/(T86*$B$4)</f>
        <v>0.2639425781686504</v>
      </c>
      <c r="V86" s="59">
        <v>0</v>
      </c>
      <c r="W86" s="59">
        <v>0</v>
      </c>
      <c r="X86" s="59">
        <v>3</v>
      </c>
      <c r="Y86" s="63" t="inlineStr">
        <is>
          <t xml:space="preserve">ACTIVE 25% Scenario band; uncached worst-route; conditional conspect; no user content. standard/script/32k/conspect</t>
        </is>
      </c>
      <c r="Z86" s="59">
        <v>1.0</v>
      </c>
      <c r="AA86" s="59">
        <v>1.0</v>
      </c>
      <c r="AB86" s="59" t="inlineStr">
        <is>
          <t xml:space="preserve">none</t>
        </is>
      </c>
      <c r="AC86" s="59">
        <v>0</v>
      </c>
      <c r="AD86" s="59" t="inlineStr">
        <is>
          <t xml:space="preserve">unverified_disabled</t>
        </is>
      </c>
      <c r="AE86" s="63" t="inlineStr">
        <is>
          <t xml:space="preserve">OWNER-GATED PROBE; 2026-08-15</t>
        </is>
      </c>
    </row>
    <row r="87">
      <c r="A87" s="59" t="inlineStr">
        <is>
          <t xml:space="preserve">scenario_assist_band</t>
        </is>
      </c>
      <c r="B87" s="59" t="inlineStr">
        <is>
          <t xml:space="preserve">standard/script/48k/no-conspect</t>
        </is>
      </c>
      <c r="C87" s="59" t="inlineStr">
        <is>
          <t xml:space="preserve">google/gemini-3-flash-preview</t>
        </is>
      </c>
      <c r="D87" s="59" t="inlineStr">
        <is>
          <t xml:space="preserve">Kie</t>
        </is>
      </c>
      <c r="E87" s="59" t="inlineStr">
        <is>
          <t xml:space="preserve">OpenRouter</t>
        </is>
      </c>
      <c r="F87" s="59">
        <v>0.15</v>
      </c>
      <c r="G87" s="59">
        <v>0.9</v>
      </c>
      <c r="H87" s="59">
        <v>0.5</v>
      </c>
      <c r="I87" s="59">
        <v>3.0</v>
      </c>
      <c r="J87" s="59">
        <v>1</v>
      </c>
      <c r="K87" s="59">
        <v>2</v>
      </c>
      <c r="L87" s="59">
        <v>28800</v>
      </c>
      <c r="M87" s="59">
        <v>1500</v>
      </c>
      <c r="N87" s="59">
        <v>48000</v>
      </c>
      <c r="O87" s="59">
        <v>2500</v>
      </c>
      <c r="P87" s="59">
        <f>J87*(N87*F87+O87*G87)/1000000</f>
        <v>0.00945</v>
      </c>
      <c r="Q87" s="59">
        <f>K87*(N87*H87+O87*I87)/1000000</f>
        <v>0.063</v>
      </c>
      <c r="R87" s="59">
        <f>P87+Q87+0</f>
        <v>0.07245</v>
      </c>
      <c r="S87" s="59">
        <f>P87*IF(D87="OpenRouter",$E$3,$H$3)+Q87*IF(E87="OpenRouter",$E$3,$H$3)+0*$E$3</f>
        <v>7.640433675000001</v>
      </c>
      <c r="T87" s="60">
        <f>ROUNDUP(S87/($B$4*(1-$Q$4)),0)</f>
        <v>31</v>
      </c>
      <c r="U87" s="59">
        <f>1-S87/(T87*$B$4)</f>
        <v>0.2556405482773002</v>
      </c>
      <c r="V87" s="59">
        <v>0</v>
      </c>
      <c r="W87" s="59">
        <v>0</v>
      </c>
      <c r="X87" s="59">
        <v>3</v>
      </c>
      <c r="Y87" s="63" t="inlineStr">
        <is>
          <t xml:space="preserve">ACTIVE 25% Scenario band; uncached worst-route; conditional conspect; no user content. standard/script/48k/no-conspect</t>
        </is>
      </c>
      <c r="Z87" s="59">
        <v>1.0</v>
      </c>
      <c r="AA87" s="59">
        <v>1.0</v>
      </c>
      <c r="AB87" s="59" t="inlineStr">
        <is>
          <t xml:space="preserve">none</t>
        </is>
      </c>
      <c r="AC87" s="59">
        <v>0</v>
      </c>
      <c r="AD87" s="59" t="inlineStr">
        <is>
          <t xml:space="preserve">unverified_disabled</t>
        </is>
      </c>
      <c r="AE87" s="63" t="inlineStr">
        <is>
          <t xml:space="preserve">OWNER-GATED PROBE; 2026-08-15</t>
        </is>
      </c>
    </row>
    <row r="88">
      <c r="A88" s="59" t="inlineStr">
        <is>
          <t xml:space="preserve">scenario_assist_band</t>
        </is>
      </c>
      <c r="B88" s="59" t="inlineStr">
        <is>
          <t xml:space="preserve">standard/script/48k/conspect</t>
        </is>
      </c>
      <c r="C88" s="59" t="inlineStr">
        <is>
          <t xml:space="preserve">google/gemini-3-flash-preview</t>
        </is>
      </c>
      <c r="D88" s="59" t="inlineStr">
        <is>
          <t xml:space="preserve">Kie</t>
        </is>
      </c>
      <c r="E88" s="59" t="inlineStr">
        <is>
          <t xml:space="preserve">OpenRouter</t>
        </is>
      </c>
      <c r="F88" s="59">
        <v>0.15</v>
      </c>
      <c r="G88" s="59">
        <v>0.9</v>
      </c>
      <c r="H88" s="59">
        <v>0.5</v>
      </c>
      <c r="I88" s="59">
        <v>3.0</v>
      </c>
      <c r="J88" s="59">
        <v>1</v>
      </c>
      <c r="K88" s="59">
        <v>2</v>
      </c>
      <c r="L88" s="59">
        <v>28800</v>
      </c>
      <c r="M88" s="59">
        <v>1500</v>
      </c>
      <c r="N88" s="59">
        <v>48000</v>
      </c>
      <c r="O88" s="59">
        <v>2500</v>
      </c>
      <c r="P88" s="59">
        <f>J88*(N88*F88+O88*G88)/1000000</f>
        <v>0.00945</v>
      </c>
      <c r="Q88" s="59">
        <f>K88*(N88*H88+O88*I88)/1000000</f>
        <v>0.063</v>
      </c>
      <c r="R88" s="59">
        <f>P88+Q88+IF("conspect"="conspect",$Q$3*($K$3*0.26+$N$3*1.56)/1000000,0)</f>
        <v>0.089922</v>
      </c>
      <c r="S88" s="59">
        <f>P88*IF(D88="OpenRouter",$E$3,$H$3)+Q88*IF(E88="OpenRouter",$E$3,$H$3)+IF("conspect"="conspect",$Q$3*($K$3*0.26+$N$3*1.56)/1000000,0)*$E$3</f>
        <v>9.495645579000001</v>
      </c>
      <c r="T88" s="60">
        <f>ROUNDUP(S88/($B$4*(1-$Q$4)),0)</f>
        <v>39</v>
      </c>
      <c r="U88" s="59">
        <f>1-S88/(T88*$B$4)</f>
        <v>0.2646632344765628</v>
      </c>
      <c r="V88" s="59">
        <v>0</v>
      </c>
      <c r="W88" s="59">
        <v>0</v>
      </c>
      <c r="X88" s="59">
        <v>3</v>
      </c>
      <c r="Y88" s="63" t="inlineStr">
        <is>
          <t xml:space="preserve">ACTIVE 25% Scenario band; uncached worst-route; conditional conspect; no user content. standard/script/48k/conspect</t>
        </is>
      </c>
      <c r="Z88" s="59">
        <v>1.0</v>
      </c>
      <c r="AA88" s="59">
        <v>1.0</v>
      </c>
      <c r="AB88" s="59" t="inlineStr">
        <is>
          <t xml:space="preserve">none</t>
        </is>
      </c>
      <c r="AC88" s="59">
        <v>0</v>
      </c>
      <c r="AD88" s="59" t="inlineStr">
        <is>
          <t xml:space="preserve">unverified_disabled</t>
        </is>
      </c>
      <c r="AE88" s="63" t="inlineStr">
        <is>
          <t xml:space="preserve">OWNER-GATED PROBE; 2026-08-15</t>
        </is>
      </c>
    </row>
    <row r="89">
      <c r="A89" s="59" t="inlineStr">
        <is>
          <t xml:space="preserve">scenario_assist_band</t>
        </is>
      </c>
      <c r="B89" s="59" t="inlineStr">
        <is>
          <t xml:space="preserve">standard/script/64k/no-conspect</t>
        </is>
      </c>
      <c r="C89" s="59" t="inlineStr">
        <is>
          <t xml:space="preserve">google/gemini-3-flash-preview</t>
        </is>
      </c>
      <c r="D89" s="59" t="inlineStr">
        <is>
          <t xml:space="preserve">Kie</t>
        </is>
      </c>
      <c r="E89" s="59" t="inlineStr">
        <is>
          <t xml:space="preserve">OpenRouter</t>
        </is>
      </c>
      <c r="F89" s="59">
        <v>0.15</v>
      </c>
      <c r="G89" s="59">
        <v>0.9</v>
      </c>
      <c r="H89" s="59">
        <v>0.5</v>
      </c>
      <c r="I89" s="59">
        <v>3.0</v>
      </c>
      <c r="J89" s="59">
        <v>1</v>
      </c>
      <c r="K89" s="59">
        <v>2</v>
      </c>
      <c r="L89" s="59">
        <v>38400</v>
      </c>
      <c r="M89" s="59">
        <v>1500</v>
      </c>
      <c r="N89" s="59">
        <v>64000</v>
      </c>
      <c r="O89" s="59">
        <v>2500</v>
      </c>
      <c r="P89" s="59">
        <f>J89*(N89*F89+O89*G89)/1000000</f>
        <v>0.01185</v>
      </c>
      <c r="Q89" s="59">
        <f>K89*(N89*H89+O89*I89)/1000000</f>
        <v>0.079</v>
      </c>
      <c r="R89" s="59">
        <f>P89+Q89+0</f>
        <v>0.09085</v>
      </c>
      <c r="S89" s="59">
        <f>P89*IF(D89="OpenRouter",$E$3,$H$3)+Q89*IF(E89="OpenRouter",$E$3,$H$3)+0*$E$3</f>
        <v>9.580861275</v>
      </c>
      <c r="T89" s="60">
        <f>ROUNDUP(S89/($B$4*(1-$Q$4)),0)</f>
        <v>39</v>
      </c>
      <c r="U89" s="59">
        <f>1-S89/(T89*$B$4)</f>
        <v>0.25806418507574613</v>
      </c>
      <c r="V89" s="59">
        <v>0</v>
      </c>
      <c r="W89" s="59">
        <v>0</v>
      </c>
      <c r="X89" s="59">
        <v>3</v>
      </c>
      <c r="Y89" s="63" t="inlineStr">
        <is>
          <t xml:space="preserve">ACTIVE 25% Scenario band; uncached worst-route; conditional conspect; no user content. standard/script/64k/no-conspect</t>
        </is>
      </c>
      <c r="Z89" s="59">
        <v>1.0</v>
      </c>
      <c r="AA89" s="59">
        <v>1.0</v>
      </c>
      <c r="AB89" s="59" t="inlineStr">
        <is>
          <t xml:space="preserve">none</t>
        </is>
      </c>
      <c r="AC89" s="59">
        <v>0</v>
      </c>
      <c r="AD89" s="59" t="inlineStr">
        <is>
          <t xml:space="preserve">unverified_disabled</t>
        </is>
      </c>
      <c r="AE89" s="63" t="inlineStr">
        <is>
          <t xml:space="preserve">OWNER-GATED PROBE; 2026-08-15</t>
        </is>
      </c>
    </row>
    <row r="90">
      <c r="A90" s="59" t="inlineStr">
        <is>
          <t xml:space="preserve">scenario_assist_band</t>
        </is>
      </c>
      <c r="B90" s="59" t="inlineStr">
        <is>
          <t xml:space="preserve">standard/script/64k/conspect</t>
        </is>
      </c>
      <c r="C90" s="59" t="inlineStr">
        <is>
          <t xml:space="preserve">google/gemini-3-flash-preview</t>
        </is>
      </c>
      <c r="D90" s="59" t="inlineStr">
        <is>
          <t xml:space="preserve">Kie</t>
        </is>
      </c>
      <c r="E90" s="59" t="inlineStr">
        <is>
          <t xml:space="preserve">OpenRouter</t>
        </is>
      </c>
      <c r="F90" s="59">
        <v>0.15</v>
      </c>
      <c r="G90" s="59">
        <v>0.9</v>
      </c>
      <c r="H90" s="59">
        <v>0.5</v>
      </c>
      <c r="I90" s="59">
        <v>3.0</v>
      </c>
      <c r="J90" s="59">
        <v>1</v>
      </c>
      <c r="K90" s="59">
        <v>2</v>
      </c>
      <c r="L90" s="59">
        <v>38400</v>
      </c>
      <c r="M90" s="59">
        <v>1500</v>
      </c>
      <c r="N90" s="59">
        <v>64000</v>
      </c>
      <c r="O90" s="59">
        <v>2500</v>
      </c>
      <c r="P90" s="59">
        <f>J90*(N90*F90+O90*G90)/1000000</f>
        <v>0.01185</v>
      </c>
      <c r="Q90" s="59">
        <f>K90*(N90*H90+O90*I90)/1000000</f>
        <v>0.079</v>
      </c>
      <c r="R90" s="59">
        <f>P90+Q90+IF("conspect"="conspect",$Q$3*($K$3*0.26+$N$3*1.56)/1000000,0)</f>
        <v>0.108322</v>
      </c>
      <c r="S90" s="59">
        <f>P90*IF(D90="OpenRouter",$E$3,$H$3)+Q90*IF(E90="OpenRouter",$E$3,$H$3)+IF("conspect"="conspect",$Q$3*($K$3*0.26+$N$3*1.56)/1000000,0)*$E$3</f>
        <v>11.436073179000001</v>
      </c>
      <c r="T90" s="60">
        <f>ROUNDUP(S90/($B$4*(1-$Q$4)),0)</f>
        <v>47</v>
      </c>
      <c r="U90" s="59">
        <f>1-S90/(T90*$B$4)</f>
        <v>0.2651385609775264</v>
      </c>
      <c r="V90" s="59">
        <v>0</v>
      </c>
      <c r="W90" s="59">
        <v>0</v>
      </c>
      <c r="X90" s="59">
        <v>3</v>
      </c>
      <c r="Y90" s="63" t="inlineStr">
        <is>
          <t xml:space="preserve">ACTIVE 25% Scenario band; uncached worst-route; conditional conspect; no user content. standard/script/64k/conspect</t>
        </is>
      </c>
      <c r="Z90" s="59">
        <v>1.0</v>
      </c>
      <c r="AA90" s="59">
        <v>1.0</v>
      </c>
      <c r="AB90" s="59" t="inlineStr">
        <is>
          <t xml:space="preserve">none</t>
        </is>
      </c>
      <c r="AC90" s="59">
        <v>0</v>
      </c>
      <c r="AD90" s="59" t="inlineStr">
        <is>
          <t xml:space="preserve">unverified_disabled</t>
        </is>
      </c>
      <c r="AE90" s="63" t="inlineStr">
        <is>
          <t xml:space="preserve">OWNER-GATED PROBE; 2026-08-15</t>
        </is>
      </c>
    </row>
    <row r="91">
      <c r="A91" s="59" t="inlineStr">
        <is>
          <t xml:space="preserve">scenario_assist_band</t>
        </is>
      </c>
      <c r="B91" s="59" t="inlineStr">
        <is>
          <t xml:space="preserve">standard/script/83_8k/no-conspect</t>
        </is>
      </c>
      <c r="C91" s="59" t="inlineStr">
        <is>
          <t xml:space="preserve">google/gemini-3-flash-preview</t>
        </is>
      </c>
      <c r="D91" s="59" t="inlineStr">
        <is>
          <t xml:space="preserve">Kie</t>
        </is>
      </c>
      <c r="E91" s="59" t="inlineStr">
        <is>
          <t xml:space="preserve">OpenRouter</t>
        </is>
      </c>
      <c r="F91" s="59">
        <v>0.15</v>
      </c>
      <c r="G91" s="59">
        <v>0.9</v>
      </c>
      <c r="H91" s="59">
        <v>0.5</v>
      </c>
      <c r="I91" s="59">
        <v>3.0</v>
      </c>
      <c r="J91" s="59">
        <v>1</v>
      </c>
      <c r="K91" s="59">
        <v>2</v>
      </c>
      <c r="L91" s="59">
        <v>50280</v>
      </c>
      <c r="M91" s="59">
        <v>1500</v>
      </c>
      <c r="N91" s="59">
        <v>83800</v>
      </c>
      <c r="O91" s="59">
        <v>2500</v>
      </c>
      <c r="P91" s="59">
        <f>J91*(N91*F91+O91*G91)/1000000</f>
        <v>0.01482</v>
      </c>
      <c r="Q91" s="59">
        <f>K91*(N91*H91+O91*I91)/1000000</f>
        <v>0.0988</v>
      </c>
      <c r="R91" s="59">
        <f>P91+Q91+0</f>
        <v>0.11362</v>
      </c>
      <c r="S91" s="59">
        <f>P91*IF(D91="OpenRouter",$E$3,$H$3)+Q91*IF(E91="OpenRouter",$E$3,$H$3)+0*$E$3</f>
        <v>11.98214043</v>
      </c>
      <c r="T91" s="60">
        <f>ROUNDUP(S91/($B$4*(1-$Q$4)),0)</f>
        <v>49</v>
      </c>
      <c r="U91" s="59">
        <f>1-S91/(T91*$B$4)</f>
        <v>0.2614758248343749</v>
      </c>
      <c r="V91" s="59">
        <v>0</v>
      </c>
      <c r="W91" s="59">
        <v>0</v>
      </c>
      <c r="X91" s="59">
        <v>3</v>
      </c>
      <c r="Y91" s="63" t="inlineStr">
        <is>
          <t xml:space="preserve">ACTIVE 25% Scenario band; uncached worst-route; conditional conspect; no user content. standard/script/83_8k/no-conspect</t>
        </is>
      </c>
      <c r="Z91" s="59">
        <v>1.0</v>
      </c>
      <c r="AA91" s="59">
        <v>1.0</v>
      </c>
      <c r="AB91" s="59" t="inlineStr">
        <is>
          <t xml:space="preserve">none</t>
        </is>
      </c>
      <c r="AC91" s="59">
        <v>0</v>
      </c>
      <c r="AD91" s="59" t="inlineStr">
        <is>
          <t xml:space="preserve">unverified_disabled</t>
        </is>
      </c>
      <c r="AE91" s="63" t="inlineStr">
        <is>
          <t xml:space="preserve">OWNER-GATED PROBE; 2026-08-15</t>
        </is>
      </c>
    </row>
    <row r="92">
      <c r="A92" s="59" t="inlineStr">
        <is>
          <t xml:space="preserve">scenario_assist_band</t>
        </is>
      </c>
      <c r="B92" s="59" t="inlineStr">
        <is>
          <t xml:space="preserve">standard/script/83_8k/conspect</t>
        </is>
      </c>
      <c r="C92" s="59" t="inlineStr">
        <is>
          <t xml:space="preserve">google/gemini-3-flash-preview</t>
        </is>
      </c>
      <c r="D92" s="59" t="inlineStr">
        <is>
          <t xml:space="preserve">Kie</t>
        </is>
      </c>
      <c r="E92" s="59" t="inlineStr">
        <is>
          <t xml:space="preserve">OpenRouter</t>
        </is>
      </c>
      <c r="F92" s="59">
        <v>0.15</v>
      </c>
      <c r="G92" s="59">
        <v>0.9</v>
      </c>
      <c r="H92" s="59">
        <v>0.5</v>
      </c>
      <c r="I92" s="59">
        <v>3.0</v>
      </c>
      <c r="J92" s="59">
        <v>1</v>
      </c>
      <c r="K92" s="59">
        <v>2</v>
      </c>
      <c r="L92" s="59">
        <v>50280</v>
      </c>
      <c r="M92" s="59">
        <v>1500</v>
      </c>
      <c r="N92" s="59">
        <v>83800</v>
      </c>
      <c r="O92" s="59">
        <v>2500</v>
      </c>
      <c r="P92" s="59">
        <f>J92*(N92*F92+O92*G92)/1000000</f>
        <v>0.01482</v>
      </c>
      <c r="Q92" s="59">
        <f>K92*(N92*H92+O92*I92)/1000000</f>
        <v>0.0988</v>
      </c>
      <c r="R92" s="59">
        <f>P92+Q92+IF("conspect"="conspect",$Q$3*($K$3*0.26+$N$3*1.56)/1000000,0)</f>
        <v>0.131092</v>
      </c>
      <c r="S92" s="59">
        <f>P92*IF(D92="OpenRouter",$E$3,$H$3)+Q92*IF(E92="OpenRouter",$E$3,$H$3)+IF("conspect"="conspect",$Q$3*($K$3*0.26+$N$3*1.56)/1000000,0)*$E$3</f>
        <v>13.837352334</v>
      </c>
      <c r="T92" s="60">
        <f>ROUNDUP(S92/($B$4*(1-$Q$4)),0)</f>
        <v>56</v>
      </c>
      <c r="U92" s="59">
        <f>1-S92/(T92*$B$4)</f>
        <v>0.2537379386584645</v>
      </c>
      <c r="V92" s="59">
        <v>0</v>
      </c>
      <c r="W92" s="59">
        <v>0</v>
      </c>
      <c r="X92" s="59">
        <v>3</v>
      </c>
      <c r="Y92" s="63" t="inlineStr">
        <is>
          <t xml:space="preserve">ACTIVE 25% Scenario band; uncached worst-route; conditional conspect; no user content. standard/script/83_8k/conspect</t>
        </is>
      </c>
      <c r="Z92" s="59">
        <v>1.0</v>
      </c>
      <c r="AA92" s="59">
        <v>1.0</v>
      </c>
      <c r="AB92" s="59" t="inlineStr">
        <is>
          <t xml:space="preserve">none</t>
        </is>
      </c>
      <c r="AC92" s="59">
        <v>0</v>
      </c>
      <c r="AD92" s="59" t="inlineStr">
        <is>
          <t xml:space="preserve">unverified_disabled</t>
        </is>
      </c>
      <c r="AE92" s="63" t="inlineStr">
        <is>
          <t xml:space="preserve">OWNER-GATED PROBE; 2026-08-15</t>
        </is>
      </c>
    </row>
    <row r="93">
      <c r="A93" s="59" t="inlineStr">
        <is>
          <t xml:space="preserve">scenario_assist_band</t>
        </is>
      </c>
      <c r="B93" s="59" t="inlineStr">
        <is>
          <t xml:space="preserve">max/project/8k/no-conspect</t>
        </is>
      </c>
      <c r="C93" s="59" t="inlineStr">
        <is>
          <t xml:space="preserve">anthropic/claude-sonnet-5</t>
        </is>
      </c>
      <c r="D93" s="59" t="inlineStr">
        <is>
          <t xml:space="preserve">Kie</t>
        </is>
      </c>
      <c r="E93" s="59" t="inlineStr">
        <is>
          <t xml:space="preserve">OpenRouter</t>
        </is>
      </c>
      <c r="F93" s="59">
        <v>0.85</v>
      </c>
      <c r="G93" s="59">
        <v>4.275</v>
      </c>
      <c r="H93" s="59">
        <v>2.0</v>
      </c>
      <c r="I93" s="59">
        <v>10.0</v>
      </c>
      <c r="J93" s="59">
        <v>1</v>
      </c>
      <c r="K93" s="59">
        <v>2</v>
      </c>
      <c r="L93" s="59">
        <v>4800</v>
      </c>
      <c r="M93" s="59">
        <v>1200</v>
      </c>
      <c r="N93" s="59">
        <v>8000</v>
      </c>
      <c r="O93" s="59">
        <v>2000</v>
      </c>
      <c r="P93" s="59">
        <f>J93*(N93*F93+O93*G93)/1000000</f>
        <v>0.01535</v>
      </c>
      <c r="Q93" s="59">
        <f>K93*(N93*H93+O93*I93)/1000000</f>
        <v>0.072</v>
      </c>
      <c r="R93" s="59">
        <f>P93+Q93+0</f>
        <v>0.08735</v>
      </c>
      <c r="S93" s="59">
        <f>P93*IF(D93="OpenRouter",$E$3,$H$3)+Q93*IF(E93="OpenRouter",$E$3,$H$3)+0*$E$3</f>
        <v>9.189797525</v>
      </c>
      <c r="T93" s="60">
        <f>ROUNDUP(S93/($B$4*(1-$Q$4)),0)</f>
        <v>38</v>
      </c>
      <c r="U93" s="59">
        <f>1-S93/(T93*$B$4)</f>
        <v>0.26962022713324474</v>
      </c>
      <c r="V93" s="59">
        <v>0</v>
      </c>
      <c r="W93" s="59">
        <v>0</v>
      </c>
      <c r="X93" s="59">
        <v>3</v>
      </c>
      <c r="Y93" s="63" t="inlineStr">
        <is>
          <t xml:space="preserve">ACTIVE 25% Scenario band; uncached worst-route; conditional conspect; no user content. max/project/8k/no-conspect</t>
        </is>
      </c>
      <c r="Z93" s="59">
        <v>1.0</v>
      </c>
      <c r="AA93" s="59">
        <v>1.0</v>
      </c>
      <c r="AB93" s="59" t="inlineStr">
        <is>
          <t xml:space="preserve">none</t>
        </is>
      </c>
      <c r="AC93" s="59">
        <v>0</v>
      </c>
      <c r="AD93" s="59" t="inlineStr">
        <is>
          <t xml:space="preserve">unverified_disabled</t>
        </is>
      </c>
      <c r="AE93" s="63" t="inlineStr">
        <is>
          <t xml:space="preserve">OWNER-GATED PROBE; 2026-08-15</t>
        </is>
      </c>
    </row>
    <row r="94">
      <c r="A94" s="59" t="inlineStr">
        <is>
          <t xml:space="preserve">scenario_assist_band</t>
        </is>
      </c>
      <c r="B94" s="59" t="inlineStr">
        <is>
          <t xml:space="preserve">max/project/8k/conspect</t>
        </is>
      </c>
      <c r="C94" s="59" t="inlineStr">
        <is>
          <t xml:space="preserve">anthropic/claude-sonnet-5</t>
        </is>
      </c>
      <c r="D94" s="59" t="inlineStr">
        <is>
          <t xml:space="preserve">Kie</t>
        </is>
      </c>
      <c r="E94" s="59" t="inlineStr">
        <is>
          <t xml:space="preserve">OpenRouter</t>
        </is>
      </c>
      <c r="F94" s="59">
        <v>0.85</v>
      </c>
      <c r="G94" s="59">
        <v>4.275</v>
      </c>
      <c r="H94" s="59">
        <v>2.0</v>
      </c>
      <c r="I94" s="59">
        <v>10.0</v>
      </c>
      <c r="J94" s="59">
        <v>1</v>
      </c>
      <c r="K94" s="59">
        <v>2</v>
      </c>
      <c r="L94" s="59">
        <v>4800</v>
      </c>
      <c r="M94" s="59">
        <v>1200</v>
      </c>
      <c r="N94" s="59">
        <v>8000</v>
      </c>
      <c r="O94" s="59">
        <v>2000</v>
      </c>
      <c r="P94" s="59">
        <f>J94*(N94*F94+O94*G94)/1000000</f>
        <v>0.01535</v>
      </c>
      <c r="Q94" s="59">
        <f>K94*(N94*H94+O94*I94)/1000000</f>
        <v>0.072</v>
      </c>
      <c r="R94" s="59">
        <f>P94+Q94+IF("conspect"="conspect",$Q$3*($K$3*0.26+$N$3*1.56)/1000000,0)</f>
        <v>0.104822</v>
      </c>
      <c r="S94" s="59">
        <f>P94*IF(D94="OpenRouter",$E$3,$H$3)+Q94*IF(E94="OpenRouter",$E$3,$H$3)+IF("conspect"="conspect",$Q$3*($K$3*0.26+$N$3*1.56)/1000000,0)*$E$3</f>
        <v>11.045009429</v>
      </c>
      <c r="T94" s="60">
        <f>ROUNDUP(S94/($B$4*(1-$Q$4)),0)</f>
        <v>45</v>
      </c>
      <c r="U94" s="59">
        <f>1-S94/(T94*$B$4)</f>
        <v>0.2587239506456209</v>
      </c>
      <c r="V94" s="59">
        <v>0</v>
      </c>
      <c r="W94" s="59">
        <v>0</v>
      </c>
      <c r="X94" s="59">
        <v>3</v>
      </c>
      <c r="Y94" s="63" t="inlineStr">
        <is>
          <t xml:space="preserve">ACTIVE 25% Scenario band; uncached worst-route; conditional conspect; no user content. max/project/8k/conspect</t>
        </is>
      </c>
      <c r="Z94" s="59">
        <v>1.0</v>
      </c>
      <c r="AA94" s="59">
        <v>1.0</v>
      </c>
      <c r="AB94" s="59" t="inlineStr">
        <is>
          <t xml:space="preserve">none</t>
        </is>
      </c>
      <c r="AC94" s="59">
        <v>0</v>
      </c>
      <c r="AD94" s="59" t="inlineStr">
        <is>
          <t xml:space="preserve">unverified_disabled</t>
        </is>
      </c>
      <c r="AE94" s="63" t="inlineStr">
        <is>
          <t xml:space="preserve">OWNER-GATED PROBE; 2026-08-15</t>
        </is>
      </c>
    </row>
    <row r="95">
      <c r="A95" s="59" t="inlineStr">
        <is>
          <t xml:space="preserve">scenario_assist_band</t>
        </is>
      </c>
      <c r="B95" s="59" t="inlineStr">
        <is>
          <t xml:space="preserve">max/project/16k/no-conspect</t>
        </is>
      </c>
      <c r="C95" s="59" t="inlineStr">
        <is>
          <t xml:space="preserve">anthropic/claude-sonnet-5</t>
        </is>
      </c>
      <c r="D95" s="59" t="inlineStr">
        <is>
          <t xml:space="preserve">Kie</t>
        </is>
      </c>
      <c r="E95" s="59" t="inlineStr">
        <is>
          <t xml:space="preserve">OpenRouter</t>
        </is>
      </c>
      <c r="F95" s="59">
        <v>0.85</v>
      </c>
      <c r="G95" s="59">
        <v>4.275</v>
      </c>
      <c r="H95" s="59">
        <v>2.0</v>
      </c>
      <c r="I95" s="59">
        <v>10.0</v>
      </c>
      <c r="J95" s="59">
        <v>1</v>
      </c>
      <c r="K95" s="59">
        <v>2</v>
      </c>
      <c r="L95" s="59">
        <v>9600</v>
      </c>
      <c r="M95" s="59">
        <v>1200</v>
      </c>
      <c r="N95" s="59">
        <v>16000</v>
      </c>
      <c r="O95" s="59">
        <v>2000</v>
      </c>
      <c r="P95" s="59">
        <f>J95*(N95*F95+O95*G95)/1000000</f>
        <v>0.02215</v>
      </c>
      <c r="Q95" s="59">
        <f>K95*(N95*H95+O95*I95)/1000000</f>
        <v>0.104</v>
      </c>
      <c r="R95" s="59">
        <f>P95+Q95+0</f>
        <v>0.12614999999999998</v>
      </c>
      <c r="S95" s="59">
        <f>P95*IF(D95="OpenRouter",$E$3,$H$3)+Q95*IF(E95="OpenRouter",$E$3,$H$3)+0*$E$3</f>
        <v>13.271915725</v>
      </c>
      <c r="T95" s="60">
        <f>ROUNDUP(S95/($B$4*(1-$Q$4)),0)</f>
        <v>54</v>
      </c>
      <c r="U95" s="59">
        <f>1-S95/(T95*$B$4)</f>
        <v>0.25772258508587864</v>
      </c>
      <c r="V95" s="59">
        <v>0</v>
      </c>
      <c r="W95" s="59">
        <v>0</v>
      </c>
      <c r="X95" s="59">
        <v>3</v>
      </c>
      <c r="Y95" s="63" t="inlineStr">
        <is>
          <t xml:space="preserve">ACTIVE 25% Scenario band; uncached worst-route; conditional conspect; no user content. max/project/16k/no-conspect</t>
        </is>
      </c>
      <c r="Z95" s="59">
        <v>1.0</v>
      </c>
      <c r="AA95" s="59">
        <v>1.0</v>
      </c>
      <c r="AB95" s="59" t="inlineStr">
        <is>
          <t xml:space="preserve">none</t>
        </is>
      </c>
      <c r="AC95" s="59">
        <v>0</v>
      </c>
      <c r="AD95" s="59" t="inlineStr">
        <is>
          <t xml:space="preserve">unverified_disabled</t>
        </is>
      </c>
      <c r="AE95" s="63" t="inlineStr">
        <is>
          <t xml:space="preserve">OWNER-GATED PROBE; 2026-08-15</t>
        </is>
      </c>
    </row>
    <row r="96">
      <c r="A96" s="59" t="inlineStr">
        <is>
          <t xml:space="preserve">scenario_assist_band</t>
        </is>
      </c>
      <c r="B96" s="59" t="inlineStr">
        <is>
          <t xml:space="preserve">max/project/16k/conspect</t>
        </is>
      </c>
      <c r="C96" s="59" t="inlineStr">
        <is>
          <t xml:space="preserve">anthropic/claude-sonnet-5</t>
        </is>
      </c>
      <c r="D96" s="59" t="inlineStr">
        <is>
          <t xml:space="preserve">Kie</t>
        </is>
      </c>
      <c r="E96" s="59" t="inlineStr">
        <is>
          <t xml:space="preserve">OpenRouter</t>
        </is>
      </c>
      <c r="F96" s="59">
        <v>0.85</v>
      </c>
      <c r="G96" s="59">
        <v>4.275</v>
      </c>
      <c r="H96" s="59">
        <v>2.0</v>
      </c>
      <c r="I96" s="59">
        <v>10.0</v>
      </c>
      <c r="J96" s="59">
        <v>1</v>
      </c>
      <c r="K96" s="59">
        <v>2</v>
      </c>
      <c r="L96" s="59">
        <v>9600</v>
      </c>
      <c r="M96" s="59">
        <v>1200</v>
      </c>
      <c r="N96" s="59">
        <v>16000</v>
      </c>
      <c r="O96" s="59">
        <v>2000</v>
      </c>
      <c r="P96" s="59">
        <f>J96*(N96*F96+O96*G96)/1000000</f>
        <v>0.02215</v>
      </c>
      <c r="Q96" s="59">
        <f>K96*(N96*H96+O96*I96)/1000000</f>
        <v>0.104</v>
      </c>
      <c r="R96" s="59">
        <f>P96+Q96+IF("conspect"="conspect",$Q$3*($K$3*0.26+$N$3*1.56)/1000000,0)</f>
        <v>0.14362199999999997</v>
      </c>
      <c r="S96" s="59">
        <f>P96*IF(D96="OpenRouter",$E$3,$H$3)+Q96*IF(E96="OpenRouter",$E$3,$H$3)+IF("conspect"="conspect",$Q$3*($K$3*0.26+$N$3*1.56)/1000000,0)*$E$3</f>
        <v>15.127127629</v>
      </c>
      <c r="T96" s="60">
        <f>ROUNDUP(S96/($B$4*(1-$Q$4)),0)</f>
        <v>61</v>
      </c>
      <c r="U96" s="59">
        <f>1-S96/(T96*$B$4)</f>
        <v>0.2510496515184769</v>
      </c>
      <c r="V96" s="59">
        <v>0</v>
      </c>
      <c r="W96" s="59">
        <v>0</v>
      </c>
      <c r="X96" s="59">
        <v>3</v>
      </c>
      <c r="Y96" s="63" t="inlineStr">
        <is>
          <t xml:space="preserve">ACTIVE 25% Scenario band; uncached worst-route; conditional conspect; no user content. max/project/16k/conspect</t>
        </is>
      </c>
      <c r="Z96" s="59">
        <v>1.0</v>
      </c>
      <c r="AA96" s="59">
        <v>1.0</v>
      </c>
      <c r="AB96" s="59" t="inlineStr">
        <is>
          <t xml:space="preserve">none</t>
        </is>
      </c>
      <c r="AC96" s="59">
        <v>0</v>
      </c>
      <c r="AD96" s="59" t="inlineStr">
        <is>
          <t xml:space="preserve">unverified_disabled</t>
        </is>
      </c>
      <c r="AE96" s="63" t="inlineStr">
        <is>
          <t xml:space="preserve">OWNER-GATED PROBE; 2026-08-15</t>
        </is>
      </c>
    </row>
    <row r="97">
      <c r="A97" s="59" t="inlineStr">
        <is>
          <t xml:space="preserve">scenario_assist_band</t>
        </is>
      </c>
      <c r="B97" s="59" t="inlineStr">
        <is>
          <t xml:space="preserve">max/project/24k/no-conspect</t>
        </is>
      </c>
      <c r="C97" s="59" t="inlineStr">
        <is>
          <t xml:space="preserve">anthropic/claude-sonnet-5</t>
        </is>
      </c>
      <c r="D97" s="59" t="inlineStr">
        <is>
          <t xml:space="preserve">Kie</t>
        </is>
      </c>
      <c r="E97" s="59" t="inlineStr">
        <is>
          <t xml:space="preserve">OpenRouter</t>
        </is>
      </c>
      <c r="F97" s="59">
        <v>0.85</v>
      </c>
      <c r="G97" s="59">
        <v>4.275</v>
      </c>
      <c r="H97" s="59">
        <v>2.0</v>
      </c>
      <c r="I97" s="59">
        <v>10.0</v>
      </c>
      <c r="J97" s="59">
        <v>1</v>
      </c>
      <c r="K97" s="59">
        <v>2</v>
      </c>
      <c r="L97" s="59">
        <v>14400</v>
      </c>
      <c r="M97" s="59">
        <v>1200</v>
      </c>
      <c r="N97" s="59">
        <v>24000</v>
      </c>
      <c r="O97" s="59">
        <v>2000</v>
      </c>
      <c r="P97" s="59">
        <f>J97*(N97*F97+O97*G97)/1000000</f>
        <v>0.02895</v>
      </c>
      <c r="Q97" s="59">
        <f>K97*(N97*H97+O97*I97)/1000000</f>
        <v>0.136</v>
      </c>
      <c r="R97" s="59">
        <f>P97+Q97+0</f>
        <v>0.16495</v>
      </c>
      <c r="S97" s="59">
        <f>P97*IF(D97="OpenRouter",$E$3,$H$3)+Q97*IF(E97="OpenRouter",$E$3,$H$3)+0*$E$3</f>
        <v>17.354033925000003</v>
      </c>
      <c r="T97" s="60">
        <f>ROUNDUP(S97/($B$4*(1-$Q$4)),0)</f>
        <v>70</v>
      </c>
      <c r="U97" s="59">
        <f>1-S97/(T97*$B$4)</f>
        <v>0.25126386511730836</v>
      </c>
      <c r="V97" s="59">
        <v>0</v>
      </c>
      <c r="W97" s="59">
        <v>0</v>
      </c>
      <c r="X97" s="59">
        <v>3</v>
      </c>
      <c r="Y97" s="63" t="inlineStr">
        <is>
          <t xml:space="preserve">ACTIVE 25% Scenario band; uncached worst-route; conditional conspect; no user content. max/project/24k/no-conspect</t>
        </is>
      </c>
      <c r="Z97" s="59">
        <v>1.0</v>
      </c>
      <c r="AA97" s="59">
        <v>1.0</v>
      </c>
      <c r="AB97" s="59" t="inlineStr">
        <is>
          <t xml:space="preserve">none</t>
        </is>
      </c>
      <c r="AC97" s="59">
        <v>0</v>
      </c>
      <c r="AD97" s="59" t="inlineStr">
        <is>
          <t xml:space="preserve">unverified_disabled</t>
        </is>
      </c>
      <c r="AE97" s="63" t="inlineStr">
        <is>
          <t xml:space="preserve">OWNER-GATED PROBE; 2026-08-15</t>
        </is>
      </c>
    </row>
    <row r="98">
      <c r="A98" s="59" t="inlineStr">
        <is>
          <t xml:space="preserve">scenario_assist_band</t>
        </is>
      </c>
      <c r="B98" s="59" t="inlineStr">
        <is>
          <t xml:space="preserve">max/project/24k/conspect</t>
        </is>
      </c>
      <c r="C98" s="59" t="inlineStr">
        <is>
          <t xml:space="preserve">anthropic/claude-sonnet-5</t>
        </is>
      </c>
      <c r="D98" s="59" t="inlineStr">
        <is>
          <t xml:space="preserve">Kie</t>
        </is>
      </c>
      <c r="E98" s="59" t="inlineStr">
        <is>
          <t xml:space="preserve">OpenRouter</t>
        </is>
      </c>
      <c r="F98" s="59">
        <v>0.85</v>
      </c>
      <c r="G98" s="59">
        <v>4.275</v>
      </c>
      <c r="H98" s="59">
        <v>2.0</v>
      </c>
      <c r="I98" s="59">
        <v>10.0</v>
      </c>
      <c r="J98" s="59">
        <v>1</v>
      </c>
      <c r="K98" s="59">
        <v>2</v>
      </c>
      <c r="L98" s="59">
        <v>14400</v>
      </c>
      <c r="M98" s="59">
        <v>1200</v>
      </c>
      <c r="N98" s="59">
        <v>24000</v>
      </c>
      <c r="O98" s="59">
        <v>2000</v>
      </c>
      <c r="P98" s="59">
        <f>J98*(N98*F98+O98*G98)/1000000</f>
        <v>0.02895</v>
      </c>
      <c r="Q98" s="59">
        <f>K98*(N98*H98+O98*I98)/1000000</f>
        <v>0.136</v>
      </c>
      <c r="R98" s="59">
        <f>P98+Q98+IF("conspect"="conspect",$Q$3*($K$3*0.26+$N$3*1.56)/1000000,0)</f>
        <v>0.18242200000000003</v>
      </c>
      <c r="S98" s="59">
        <f>P98*IF(D98="OpenRouter",$E$3,$H$3)+Q98*IF(E98="OpenRouter",$E$3,$H$3)+IF("conspect"="conspect",$Q$3*($K$3*0.26+$N$3*1.56)/1000000,0)*$E$3</f>
        <v>19.209245829000004</v>
      </c>
      <c r="T98" s="60">
        <f>ROUNDUP(S98/($B$4*(1-$Q$4)),0)</f>
        <v>78</v>
      </c>
      <c r="U98" s="59">
        <f>1-S98/(T98*$B$4)</f>
        <v>0.25622409879745167</v>
      </c>
      <c r="V98" s="59">
        <v>0</v>
      </c>
      <c r="W98" s="59">
        <v>0</v>
      </c>
      <c r="X98" s="59">
        <v>3</v>
      </c>
      <c r="Y98" s="63" t="inlineStr">
        <is>
          <t xml:space="preserve">ACTIVE 25% Scenario band; uncached worst-route; conditional conspect; no user content. max/project/24k/conspect</t>
        </is>
      </c>
      <c r="Z98" s="59">
        <v>1.0</v>
      </c>
      <c r="AA98" s="59">
        <v>1.0</v>
      </c>
      <c r="AB98" s="59" t="inlineStr">
        <is>
          <t xml:space="preserve">none</t>
        </is>
      </c>
      <c r="AC98" s="59">
        <v>0</v>
      </c>
      <c r="AD98" s="59" t="inlineStr">
        <is>
          <t xml:space="preserve">unverified_disabled</t>
        </is>
      </c>
      <c r="AE98" s="63" t="inlineStr">
        <is>
          <t xml:space="preserve">OWNER-GATED PROBE; 2026-08-15</t>
        </is>
      </c>
    </row>
    <row r="99">
      <c r="A99" s="59" t="inlineStr">
        <is>
          <t xml:space="preserve">scenario_assist_band</t>
        </is>
      </c>
      <c r="B99" s="59" t="inlineStr">
        <is>
          <t xml:space="preserve">max/span/8k/no-conspect</t>
        </is>
      </c>
      <c r="C99" s="59" t="inlineStr">
        <is>
          <t xml:space="preserve">anthropic/claude-sonnet-5</t>
        </is>
      </c>
      <c r="D99" s="59" t="inlineStr">
        <is>
          <t xml:space="preserve">Kie</t>
        </is>
      </c>
      <c r="E99" s="59" t="inlineStr">
        <is>
          <t xml:space="preserve">OpenRouter</t>
        </is>
      </c>
      <c r="F99" s="59">
        <v>0.85</v>
      </c>
      <c r="G99" s="59">
        <v>4.275</v>
      </c>
      <c r="H99" s="59">
        <v>2.0</v>
      </c>
      <c r="I99" s="59">
        <v>10.0</v>
      </c>
      <c r="J99" s="59">
        <v>1</v>
      </c>
      <c r="K99" s="59">
        <v>2</v>
      </c>
      <c r="L99" s="59">
        <v>4800</v>
      </c>
      <c r="M99" s="59">
        <v>900</v>
      </c>
      <c r="N99" s="59">
        <v>8000</v>
      </c>
      <c r="O99" s="59">
        <v>1500</v>
      </c>
      <c r="P99" s="59">
        <f>J99*(N99*F99+O99*G99)/1000000</f>
        <v>0.0132125</v>
      </c>
      <c r="Q99" s="59">
        <f>K99*(N99*H99+O99*I99)/1000000</f>
        <v>0.062</v>
      </c>
      <c r="R99" s="59">
        <f>P99+Q99+0</f>
        <v>0.0752125</v>
      </c>
      <c r="S99" s="59">
        <f>P99*IF(D99="OpenRouter",$E$3,$H$3)+Q99*IF(E99="OpenRouter",$E$3,$H$3)+0*$E$3</f>
        <v>7.91287769375</v>
      </c>
      <c r="T99" s="60">
        <f>ROUNDUP(S99/($B$4*(1-$Q$4)),0)</f>
        <v>32</v>
      </c>
      <c r="U99" s="59">
        <f>1-S99/(T99*$B$4)</f>
        <v>0.25318872544346915</v>
      </c>
      <c r="V99" s="59">
        <v>0</v>
      </c>
      <c r="W99" s="59">
        <v>0</v>
      </c>
      <c r="X99" s="59">
        <v>3</v>
      </c>
      <c r="Y99" s="63" t="inlineStr">
        <is>
          <t xml:space="preserve">ACTIVE 25% Scenario band; uncached worst-route; conditional conspect; no user content. max/span/8k/no-conspect</t>
        </is>
      </c>
      <c r="Z99" s="59">
        <v>1.0</v>
      </c>
      <c r="AA99" s="59">
        <v>1.0</v>
      </c>
      <c r="AB99" s="59" t="inlineStr">
        <is>
          <t xml:space="preserve">none</t>
        </is>
      </c>
      <c r="AC99" s="59">
        <v>0</v>
      </c>
      <c r="AD99" s="59" t="inlineStr">
        <is>
          <t xml:space="preserve">unverified_disabled</t>
        </is>
      </c>
      <c r="AE99" s="63" t="inlineStr">
        <is>
          <t xml:space="preserve">OWNER-GATED PROBE; 2026-08-15</t>
        </is>
      </c>
    </row>
    <row r="100">
      <c r="A100" s="59" t="inlineStr">
        <is>
          <t xml:space="preserve">scenario_assist_band</t>
        </is>
      </c>
      <c r="B100" s="59" t="inlineStr">
        <is>
          <t xml:space="preserve">max/span/8k/conspect</t>
        </is>
      </c>
      <c r="C100" s="59" t="inlineStr">
        <is>
          <t xml:space="preserve">anthropic/claude-sonnet-5</t>
        </is>
      </c>
      <c r="D100" s="59" t="inlineStr">
        <is>
          <t xml:space="preserve">Kie</t>
        </is>
      </c>
      <c r="E100" s="59" t="inlineStr">
        <is>
          <t xml:space="preserve">OpenRouter</t>
        </is>
      </c>
      <c r="F100" s="59">
        <v>0.85</v>
      </c>
      <c r="G100" s="59">
        <v>4.275</v>
      </c>
      <c r="H100" s="59">
        <v>2.0</v>
      </c>
      <c r="I100" s="59">
        <v>10.0</v>
      </c>
      <c r="J100" s="59">
        <v>1</v>
      </c>
      <c r="K100" s="59">
        <v>2</v>
      </c>
      <c r="L100" s="59">
        <v>4800</v>
      </c>
      <c r="M100" s="59">
        <v>900</v>
      </c>
      <c r="N100" s="59">
        <v>8000</v>
      </c>
      <c r="O100" s="59">
        <v>1500</v>
      </c>
      <c r="P100" s="59">
        <f>J100*(N100*F100+O100*G100)/1000000</f>
        <v>0.0132125</v>
      </c>
      <c r="Q100" s="59">
        <f>K100*(N100*H100+O100*I100)/1000000</f>
        <v>0.062</v>
      </c>
      <c r="R100" s="59">
        <f>P100+Q100+IF("conspect"="conspect",$Q$3*($K$3*0.26+$N$3*1.56)/1000000,0)</f>
        <v>0.0926845</v>
      </c>
      <c r="S100" s="59">
        <f>P100*IF(D100="OpenRouter",$E$3,$H$3)+Q100*IF(E100="OpenRouter",$E$3,$H$3)+IF("conspect"="conspect",$Q$3*($K$3*0.26+$N$3*1.56)/1000000,0)*$E$3</f>
        <v>9.76808959775</v>
      </c>
      <c r="T100" s="60">
        <f>ROUNDUP(S100/($B$4*(1-$Q$4)),0)</f>
        <v>40</v>
      </c>
      <c r="U100" s="59">
        <f>1-S100/(T100*$B$4)</f>
        <v>0.2624762090545164</v>
      </c>
      <c r="V100" s="59">
        <v>0</v>
      </c>
      <c r="W100" s="59">
        <v>0</v>
      </c>
      <c r="X100" s="59">
        <v>3</v>
      </c>
      <c r="Y100" s="63" t="inlineStr">
        <is>
          <t xml:space="preserve">ACTIVE 25% Scenario band; uncached worst-route; conditional conspect; no user content. max/span/8k/conspect</t>
        </is>
      </c>
      <c r="Z100" s="59">
        <v>1.0</v>
      </c>
      <c r="AA100" s="59">
        <v>1.0</v>
      </c>
      <c r="AB100" s="59" t="inlineStr">
        <is>
          <t xml:space="preserve">none</t>
        </is>
      </c>
      <c r="AC100" s="59">
        <v>0</v>
      </c>
      <c r="AD100" s="59" t="inlineStr">
        <is>
          <t xml:space="preserve">unverified_disabled</t>
        </is>
      </c>
      <c r="AE100" s="63" t="inlineStr">
        <is>
          <t xml:space="preserve">OWNER-GATED PROBE; 2026-08-15</t>
        </is>
      </c>
    </row>
    <row r="101">
      <c r="A101" s="59" t="inlineStr">
        <is>
          <t xml:space="preserve">scenario_assist_band</t>
        </is>
      </c>
      <c r="B101" s="59" t="inlineStr">
        <is>
          <t xml:space="preserve">max/span/16k/no-conspect</t>
        </is>
      </c>
      <c r="C101" s="59" t="inlineStr">
        <is>
          <t xml:space="preserve">anthropic/claude-sonnet-5</t>
        </is>
      </c>
      <c r="D101" s="59" t="inlineStr">
        <is>
          <t xml:space="preserve">Kie</t>
        </is>
      </c>
      <c r="E101" s="59" t="inlineStr">
        <is>
          <t xml:space="preserve">OpenRouter</t>
        </is>
      </c>
      <c r="F101" s="59">
        <v>0.85</v>
      </c>
      <c r="G101" s="59">
        <v>4.275</v>
      </c>
      <c r="H101" s="59">
        <v>2.0</v>
      </c>
      <c r="I101" s="59">
        <v>10.0</v>
      </c>
      <c r="J101" s="59">
        <v>1</v>
      </c>
      <c r="K101" s="59">
        <v>2</v>
      </c>
      <c r="L101" s="59">
        <v>9600</v>
      </c>
      <c r="M101" s="59">
        <v>900</v>
      </c>
      <c r="N101" s="59">
        <v>16000</v>
      </c>
      <c r="O101" s="59">
        <v>1500</v>
      </c>
      <c r="P101" s="59">
        <f>J101*(N101*F101+O101*G101)/1000000</f>
        <v>0.0200125</v>
      </c>
      <c r="Q101" s="59">
        <f>K101*(N101*H101+O101*I101)/1000000</f>
        <v>0.094</v>
      </c>
      <c r="R101" s="59">
        <f>P101+Q101+0</f>
        <v>0.1140125</v>
      </c>
      <c r="S101" s="59">
        <f>P101*IF(D101="OpenRouter",$E$3,$H$3)+Q101*IF(E101="OpenRouter",$E$3,$H$3)+0*$E$3</f>
        <v>11.994995893750001</v>
      </c>
      <c r="T101" s="60">
        <f>ROUNDUP(S101/($B$4*(1-$Q$4)),0)</f>
        <v>49</v>
      </c>
      <c r="U101" s="59">
        <f>1-S101/(T101*$B$4)</f>
        <v>0.26068347301561545</v>
      </c>
      <c r="V101" s="59">
        <v>0</v>
      </c>
      <c r="W101" s="59">
        <v>0</v>
      </c>
      <c r="X101" s="59">
        <v>3</v>
      </c>
      <c r="Y101" s="63" t="inlineStr">
        <is>
          <t xml:space="preserve">ACTIVE 25% Scenario band; uncached worst-route; conditional conspect; no user content. max/span/16k/no-conspect</t>
        </is>
      </c>
      <c r="Z101" s="59">
        <v>1.0</v>
      </c>
      <c r="AA101" s="59">
        <v>1.0</v>
      </c>
      <c r="AB101" s="59" t="inlineStr">
        <is>
          <t xml:space="preserve">none</t>
        </is>
      </c>
      <c r="AC101" s="59">
        <v>0</v>
      </c>
      <c r="AD101" s="59" t="inlineStr">
        <is>
          <t xml:space="preserve">unverified_disabled</t>
        </is>
      </c>
      <c r="AE101" s="63" t="inlineStr">
        <is>
          <t xml:space="preserve">OWNER-GATED PROBE; 2026-08-15</t>
        </is>
      </c>
    </row>
    <row r="102">
      <c r="A102" s="59" t="inlineStr">
        <is>
          <t xml:space="preserve">scenario_assist_band</t>
        </is>
      </c>
      <c r="B102" s="59" t="inlineStr">
        <is>
          <t xml:space="preserve">max/span/16k/conspect</t>
        </is>
      </c>
      <c r="C102" s="59" t="inlineStr">
        <is>
          <t xml:space="preserve">anthropic/claude-sonnet-5</t>
        </is>
      </c>
      <c r="D102" s="59" t="inlineStr">
        <is>
          <t xml:space="preserve">Kie</t>
        </is>
      </c>
      <c r="E102" s="59" t="inlineStr">
        <is>
          <t xml:space="preserve">OpenRouter</t>
        </is>
      </c>
      <c r="F102" s="59">
        <v>0.85</v>
      </c>
      <c r="G102" s="59">
        <v>4.275</v>
      </c>
      <c r="H102" s="59">
        <v>2.0</v>
      </c>
      <c r="I102" s="59">
        <v>10.0</v>
      </c>
      <c r="J102" s="59">
        <v>1</v>
      </c>
      <c r="K102" s="59">
        <v>2</v>
      </c>
      <c r="L102" s="59">
        <v>9600</v>
      </c>
      <c r="M102" s="59">
        <v>900</v>
      </c>
      <c r="N102" s="59">
        <v>16000</v>
      </c>
      <c r="O102" s="59">
        <v>1500</v>
      </c>
      <c r="P102" s="59">
        <f>J102*(N102*F102+O102*G102)/1000000</f>
        <v>0.0200125</v>
      </c>
      <c r="Q102" s="59">
        <f>K102*(N102*H102+O102*I102)/1000000</f>
        <v>0.094</v>
      </c>
      <c r="R102" s="59">
        <f>P102+Q102+IF("conspect"="conspect",$Q$3*($K$3*0.26+$N$3*1.56)/1000000,0)</f>
        <v>0.1314845</v>
      </c>
      <c r="S102" s="59">
        <f>P102*IF(D102="OpenRouter",$E$3,$H$3)+Q102*IF(E102="OpenRouter",$E$3,$H$3)+IF("conspect"="conspect",$Q$3*($K$3*0.26+$N$3*1.56)/1000000,0)*$E$3</f>
        <v>13.850207797750002</v>
      </c>
      <c r="T102" s="60">
        <f>ROUNDUP(S102/($B$4*(1-$Q$4)),0)</f>
        <v>56</v>
      </c>
      <c r="U102" s="59">
        <f>1-S102/(T102*$B$4)</f>
        <v>0.25304463081705</v>
      </c>
      <c r="V102" s="59">
        <v>0</v>
      </c>
      <c r="W102" s="59">
        <v>0</v>
      </c>
      <c r="X102" s="59">
        <v>3</v>
      </c>
      <c r="Y102" s="63" t="inlineStr">
        <is>
          <t xml:space="preserve">ACTIVE 25% Scenario band; uncached worst-route; conditional conspect; no user content. max/span/16k/conspect</t>
        </is>
      </c>
      <c r="Z102" s="59">
        <v>1.0</v>
      </c>
      <c r="AA102" s="59">
        <v>1.0</v>
      </c>
      <c r="AB102" s="59" t="inlineStr">
        <is>
          <t xml:space="preserve">none</t>
        </is>
      </c>
      <c r="AC102" s="59">
        <v>0</v>
      </c>
      <c r="AD102" s="59" t="inlineStr">
        <is>
          <t xml:space="preserve">unverified_disabled</t>
        </is>
      </c>
      <c r="AE102" s="63" t="inlineStr">
        <is>
          <t xml:space="preserve">OWNER-GATED PROBE; 2026-08-15</t>
        </is>
      </c>
    </row>
    <row r="103">
      <c r="A103" s="59" t="inlineStr">
        <is>
          <t xml:space="preserve">scenario_assist_band</t>
        </is>
      </c>
      <c r="B103" s="59" t="inlineStr">
        <is>
          <t xml:space="preserve">max/span/22_4k/no-conspect</t>
        </is>
      </c>
      <c r="C103" s="59" t="inlineStr">
        <is>
          <t xml:space="preserve">anthropic/claude-sonnet-5</t>
        </is>
      </c>
      <c r="D103" s="59" t="inlineStr">
        <is>
          <t xml:space="preserve">Kie</t>
        </is>
      </c>
      <c r="E103" s="59" t="inlineStr">
        <is>
          <t xml:space="preserve">OpenRouter</t>
        </is>
      </c>
      <c r="F103" s="59">
        <v>0.85</v>
      </c>
      <c r="G103" s="59">
        <v>4.275</v>
      </c>
      <c r="H103" s="59">
        <v>2.0</v>
      </c>
      <c r="I103" s="59">
        <v>10.0</v>
      </c>
      <c r="J103" s="59">
        <v>1</v>
      </c>
      <c r="K103" s="59">
        <v>2</v>
      </c>
      <c r="L103" s="59">
        <v>13440</v>
      </c>
      <c r="M103" s="59">
        <v>900</v>
      </c>
      <c r="N103" s="59">
        <v>22400</v>
      </c>
      <c r="O103" s="59">
        <v>1500</v>
      </c>
      <c r="P103" s="59">
        <f>J103*(N103*F103+O103*G103)/1000000</f>
        <v>0.0254525</v>
      </c>
      <c r="Q103" s="59">
        <f>K103*(N103*H103+O103*I103)/1000000</f>
        <v>0.1196</v>
      </c>
      <c r="R103" s="59">
        <f>P103+Q103+0</f>
        <v>0.1450525</v>
      </c>
      <c r="S103" s="59">
        <f>P103*IF(D103="OpenRouter",$E$3,$H$3)+Q103*IF(E103="OpenRouter",$E$3,$H$3)+0*$E$3</f>
        <v>15.26069045375</v>
      </c>
      <c r="T103" s="60">
        <f>ROUNDUP(S103/($B$4*(1-$Q$4)),0)</f>
        <v>62</v>
      </c>
      <c r="U103" s="59">
        <f>1-S103/(T103*$B$4)</f>
        <v>0.25662340239716896</v>
      </c>
      <c r="V103" s="59">
        <v>0</v>
      </c>
      <c r="W103" s="59">
        <v>0</v>
      </c>
      <c r="X103" s="59">
        <v>3</v>
      </c>
      <c r="Y103" s="63" t="inlineStr">
        <is>
          <t xml:space="preserve">ACTIVE 25% Scenario band; uncached worst-route; conditional conspect; no user content. max/span/22_4k/no-conspect</t>
        </is>
      </c>
      <c r="Z103" s="59">
        <v>1.0</v>
      </c>
      <c r="AA103" s="59">
        <v>1.0</v>
      </c>
      <c r="AB103" s="59" t="inlineStr">
        <is>
          <t xml:space="preserve">none</t>
        </is>
      </c>
      <c r="AC103" s="59">
        <v>0</v>
      </c>
      <c r="AD103" s="59" t="inlineStr">
        <is>
          <t xml:space="preserve">unverified_disabled</t>
        </is>
      </c>
      <c r="AE103" s="63" t="inlineStr">
        <is>
          <t xml:space="preserve">OWNER-GATED PROBE; 2026-08-15</t>
        </is>
      </c>
    </row>
    <row r="104">
      <c r="A104" s="59" t="inlineStr">
        <is>
          <t xml:space="preserve">scenario_assist_band</t>
        </is>
      </c>
      <c r="B104" s="59" t="inlineStr">
        <is>
          <t xml:space="preserve">max/span/22_4k/conspect</t>
        </is>
      </c>
      <c r="C104" s="59" t="inlineStr">
        <is>
          <t xml:space="preserve">anthropic/claude-sonnet-5</t>
        </is>
      </c>
      <c r="D104" s="59" t="inlineStr">
        <is>
          <t xml:space="preserve">Kie</t>
        </is>
      </c>
      <c r="E104" s="59" t="inlineStr">
        <is>
          <t xml:space="preserve">OpenRouter</t>
        </is>
      </c>
      <c r="F104" s="59">
        <v>0.85</v>
      </c>
      <c r="G104" s="59">
        <v>4.275</v>
      </c>
      <c r="H104" s="59">
        <v>2.0</v>
      </c>
      <c r="I104" s="59">
        <v>10.0</v>
      </c>
      <c r="J104" s="59">
        <v>1</v>
      </c>
      <c r="K104" s="59">
        <v>2</v>
      </c>
      <c r="L104" s="59">
        <v>13440</v>
      </c>
      <c r="M104" s="59">
        <v>900</v>
      </c>
      <c r="N104" s="59">
        <v>22400</v>
      </c>
      <c r="O104" s="59">
        <v>1500</v>
      </c>
      <c r="P104" s="59">
        <f>J104*(N104*F104+O104*G104)/1000000</f>
        <v>0.0254525</v>
      </c>
      <c r="Q104" s="59">
        <f>K104*(N104*H104+O104*I104)/1000000</f>
        <v>0.1196</v>
      </c>
      <c r="R104" s="59">
        <f>P104+Q104+IF("conspect"="conspect",$Q$3*($K$3*0.26+$N$3*1.56)/1000000,0)</f>
        <v>0.16252450000000002</v>
      </c>
      <c r="S104" s="59">
        <f>P104*IF(D104="OpenRouter",$E$3,$H$3)+Q104*IF(E104="OpenRouter",$E$3,$H$3)+IF("conspect"="conspect",$Q$3*($K$3*0.26+$N$3*1.56)/1000000,0)*$E$3</f>
        <v>17.11590235775</v>
      </c>
      <c r="T104" s="60">
        <f>ROUNDUP(S104/($B$4*(1-$Q$4)),0)</f>
        <v>69</v>
      </c>
      <c r="U104" s="59">
        <f>1-S104/(T104*$B$4)</f>
        <v>0.25083565357411775</v>
      </c>
      <c r="V104" s="59">
        <v>0</v>
      </c>
      <c r="W104" s="59">
        <v>0</v>
      </c>
      <c r="X104" s="59">
        <v>3</v>
      </c>
      <c r="Y104" s="63" t="inlineStr">
        <is>
          <t xml:space="preserve">ACTIVE 25% Scenario band; uncached worst-route; conditional conspect; no user content. max/span/22_4k/conspect</t>
        </is>
      </c>
      <c r="Z104" s="59">
        <v>1.0</v>
      </c>
      <c r="AA104" s="59">
        <v>1.0</v>
      </c>
      <c r="AB104" s="59" t="inlineStr">
        <is>
          <t xml:space="preserve">none</t>
        </is>
      </c>
      <c r="AC104" s="59">
        <v>0</v>
      </c>
      <c r="AD104" s="59" t="inlineStr">
        <is>
          <t xml:space="preserve">unverified_disabled</t>
        </is>
      </c>
      <c r="AE104" s="63" t="inlineStr">
        <is>
          <t xml:space="preserve">OWNER-GATED PROBE; 2026-08-15</t>
        </is>
      </c>
    </row>
    <row r="105">
      <c r="A105" s="59" t="inlineStr">
        <is>
          <t xml:space="preserve">scenario_assist_band</t>
        </is>
      </c>
      <c r="B105" s="59" t="inlineStr">
        <is>
          <t xml:space="preserve">max/scene/8k/no-conspect</t>
        </is>
      </c>
      <c r="C105" s="59" t="inlineStr">
        <is>
          <t xml:space="preserve">anthropic/claude-sonnet-5</t>
        </is>
      </c>
      <c r="D105" s="59" t="inlineStr">
        <is>
          <t xml:space="preserve">Kie</t>
        </is>
      </c>
      <c r="E105" s="59" t="inlineStr">
        <is>
          <t xml:space="preserve">OpenRouter</t>
        </is>
      </c>
      <c r="F105" s="59">
        <v>0.85</v>
      </c>
      <c r="G105" s="59">
        <v>4.275</v>
      </c>
      <c r="H105" s="59">
        <v>2.0</v>
      </c>
      <c r="I105" s="59">
        <v>10.0</v>
      </c>
      <c r="J105" s="59">
        <v>1</v>
      </c>
      <c r="K105" s="59">
        <v>2</v>
      </c>
      <c r="L105" s="59">
        <v>4800</v>
      </c>
      <c r="M105" s="59">
        <v>1200</v>
      </c>
      <c r="N105" s="59">
        <v>8000</v>
      </c>
      <c r="O105" s="59">
        <v>2000</v>
      </c>
      <c r="P105" s="59">
        <f>J105*(N105*F105+O105*G105)/1000000</f>
        <v>0.01535</v>
      </c>
      <c r="Q105" s="59">
        <f>K105*(N105*H105+O105*I105)/1000000</f>
        <v>0.072</v>
      </c>
      <c r="R105" s="59">
        <f>P105+Q105+0</f>
        <v>0.08735</v>
      </c>
      <c r="S105" s="59">
        <f>P105*IF(D105="OpenRouter",$E$3,$H$3)+Q105*IF(E105="OpenRouter",$E$3,$H$3)+0*$E$3</f>
        <v>9.189797525</v>
      </c>
      <c r="T105" s="60">
        <f>ROUNDUP(S105/($B$4*(1-$Q$4)),0)</f>
        <v>38</v>
      </c>
      <c r="U105" s="59">
        <f>1-S105/(T105*$B$4)</f>
        <v>0.26962022713324474</v>
      </c>
      <c r="V105" s="59">
        <v>0</v>
      </c>
      <c r="W105" s="59">
        <v>0</v>
      </c>
      <c r="X105" s="59">
        <v>3</v>
      </c>
      <c r="Y105" s="63" t="inlineStr">
        <is>
          <t xml:space="preserve">ACTIVE 25% Scenario band; uncached worst-route; conditional conspect; no user content. max/scene/8k/no-conspect</t>
        </is>
      </c>
      <c r="Z105" s="59">
        <v>1.0</v>
      </c>
      <c r="AA105" s="59">
        <v>1.0</v>
      </c>
      <c r="AB105" s="59" t="inlineStr">
        <is>
          <t xml:space="preserve">none</t>
        </is>
      </c>
      <c r="AC105" s="59">
        <v>0</v>
      </c>
      <c r="AD105" s="59" t="inlineStr">
        <is>
          <t xml:space="preserve">unverified_disabled</t>
        </is>
      </c>
      <c r="AE105" s="63" t="inlineStr">
        <is>
          <t xml:space="preserve">OWNER-GATED PROBE; 2026-08-15</t>
        </is>
      </c>
    </row>
    <row r="106">
      <c r="A106" s="59" t="inlineStr">
        <is>
          <t xml:space="preserve">scenario_assist_band</t>
        </is>
      </c>
      <c r="B106" s="59" t="inlineStr">
        <is>
          <t xml:space="preserve">max/scene/8k/conspect</t>
        </is>
      </c>
      <c r="C106" s="59" t="inlineStr">
        <is>
          <t xml:space="preserve">anthropic/claude-sonnet-5</t>
        </is>
      </c>
      <c r="D106" s="59" t="inlineStr">
        <is>
          <t xml:space="preserve">Kie</t>
        </is>
      </c>
      <c r="E106" s="59" t="inlineStr">
        <is>
          <t xml:space="preserve">OpenRouter</t>
        </is>
      </c>
      <c r="F106" s="59">
        <v>0.85</v>
      </c>
      <c r="G106" s="59">
        <v>4.275</v>
      </c>
      <c r="H106" s="59">
        <v>2.0</v>
      </c>
      <c r="I106" s="59">
        <v>10.0</v>
      </c>
      <c r="J106" s="59">
        <v>1</v>
      </c>
      <c r="K106" s="59">
        <v>2</v>
      </c>
      <c r="L106" s="59">
        <v>4800</v>
      </c>
      <c r="M106" s="59">
        <v>1200</v>
      </c>
      <c r="N106" s="59">
        <v>8000</v>
      </c>
      <c r="O106" s="59">
        <v>2000</v>
      </c>
      <c r="P106" s="59">
        <f>J106*(N106*F106+O106*G106)/1000000</f>
        <v>0.01535</v>
      </c>
      <c r="Q106" s="59">
        <f>K106*(N106*H106+O106*I106)/1000000</f>
        <v>0.072</v>
      </c>
      <c r="R106" s="59">
        <f>P106+Q106+IF("conspect"="conspect",$Q$3*($K$3*0.26+$N$3*1.56)/1000000,0)</f>
        <v>0.104822</v>
      </c>
      <c r="S106" s="59">
        <f>P106*IF(D106="OpenRouter",$E$3,$H$3)+Q106*IF(E106="OpenRouter",$E$3,$H$3)+IF("conspect"="conspect",$Q$3*($K$3*0.26+$N$3*1.56)/1000000,0)*$E$3</f>
        <v>11.045009429</v>
      </c>
      <c r="T106" s="60">
        <f>ROUNDUP(S106/($B$4*(1-$Q$4)),0)</f>
        <v>45</v>
      </c>
      <c r="U106" s="59">
        <f>1-S106/(T106*$B$4)</f>
        <v>0.2587239506456209</v>
      </c>
      <c r="V106" s="59">
        <v>0</v>
      </c>
      <c r="W106" s="59">
        <v>0</v>
      </c>
      <c r="X106" s="59">
        <v>3</v>
      </c>
      <c r="Y106" s="63" t="inlineStr">
        <is>
          <t xml:space="preserve">ACTIVE 25% Scenario band; uncached worst-route; conditional conspect; no user content. max/scene/8k/conspect</t>
        </is>
      </c>
      <c r="Z106" s="59">
        <v>1.0</v>
      </c>
      <c r="AA106" s="59">
        <v>1.0</v>
      </c>
      <c r="AB106" s="59" t="inlineStr">
        <is>
          <t xml:space="preserve">none</t>
        </is>
      </c>
      <c r="AC106" s="59">
        <v>0</v>
      </c>
      <c r="AD106" s="59" t="inlineStr">
        <is>
          <t xml:space="preserve">unverified_disabled</t>
        </is>
      </c>
      <c r="AE106" s="63" t="inlineStr">
        <is>
          <t xml:space="preserve">OWNER-GATED PROBE; 2026-08-15</t>
        </is>
      </c>
    </row>
    <row r="107">
      <c r="A107" s="59" t="inlineStr">
        <is>
          <t xml:space="preserve">scenario_assist_band</t>
        </is>
      </c>
      <c r="B107" s="59" t="inlineStr">
        <is>
          <t xml:space="preserve">max/scene/16k/no-conspect</t>
        </is>
      </c>
      <c r="C107" s="59" t="inlineStr">
        <is>
          <t xml:space="preserve">anthropic/claude-sonnet-5</t>
        </is>
      </c>
      <c r="D107" s="59" t="inlineStr">
        <is>
          <t xml:space="preserve">Kie</t>
        </is>
      </c>
      <c r="E107" s="59" t="inlineStr">
        <is>
          <t xml:space="preserve">OpenRouter</t>
        </is>
      </c>
      <c r="F107" s="59">
        <v>0.85</v>
      </c>
      <c r="G107" s="59">
        <v>4.275</v>
      </c>
      <c r="H107" s="59">
        <v>2.0</v>
      </c>
      <c r="I107" s="59">
        <v>10.0</v>
      </c>
      <c r="J107" s="59">
        <v>1</v>
      </c>
      <c r="K107" s="59">
        <v>2</v>
      </c>
      <c r="L107" s="59">
        <v>9600</v>
      </c>
      <c r="M107" s="59">
        <v>1200</v>
      </c>
      <c r="N107" s="59">
        <v>16000</v>
      </c>
      <c r="O107" s="59">
        <v>2000</v>
      </c>
      <c r="P107" s="59">
        <f>J107*(N107*F107+O107*G107)/1000000</f>
        <v>0.02215</v>
      </c>
      <c r="Q107" s="59">
        <f>K107*(N107*H107+O107*I107)/1000000</f>
        <v>0.104</v>
      </c>
      <c r="R107" s="59">
        <f>P107+Q107+0</f>
        <v>0.12614999999999998</v>
      </c>
      <c r="S107" s="59">
        <f>P107*IF(D107="OpenRouter",$E$3,$H$3)+Q107*IF(E107="OpenRouter",$E$3,$H$3)+0*$E$3</f>
        <v>13.271915725</v>
      </c>
      <c r="T107" s="60">
        <f>ROUNDUP(S107/($B$4*(1-$Q$4)),0)</f>
        <v>54</v>
      </c>
      <c r="U107" s="59">
        <f>1-S107/(T107*$B$4)</f>
        <v>0.25772258508587864</v>
      </c>
      <c r="V107" s="59">
        <v>0</v>
      </c>
      <c r="W107" s="59">
        <v>0</v>
      </c>
      <c r="X107" s="59">
        <v>3</v>
      </c>
      <c r="Y107" s="63" t="inlineStr">
        <is>
          <t xml:space="preserve">ACTIVE 25% Scenario band; uncached worst-route; conditional conspect; no user content. max/scene/16k/no-conspect</t>
        </is>
      </c>
      <c r="Z107" s="59">
        <v>1.0</v>
      </c>
      <c r="AA107" s="59">
        <v>1.0</v>
      </c>
      <c r="AB107" s="59" t="inlineStr">
        <is>
          <t xml:space="preserve">none</t>
        </is>
      </c>
      <c r="AC107" s="59">
        <v>0</v>
      </c>
      <c r="AD107" s="59" t="inlineStr">
        <is>
          <t xml:space="preserve">unverified_disabled</t>
        </is>
      </c>
      <c r="AE107" s="63" t="inlineStr">
        <is>
          <t xml:space="preserve">OWNER-GATED PROBE; 2026-08-15</t>
        </is>
      </c>
    </row>
    <row r="108">
      <c r="A108" s="59" t="inlineStr">
        <is>
          <t xml:space="preserve">scenario_assist_band</t>
        </is>
      </c>
      <c r="B108" s="59" t="inlineStr">
        <is>
          <t xml:space="preserve">max/scene/16k/conspect</t>
        </is>
      </c>
      <c r="C108" s="59" t="inlineStr">
        <is>
          <t xml:space="preserve">anthropic/claude-sonnet-5</t>
        </is>
      </c>
      <c r="D108" s="59" t="inlineStr">
        <is>
          <t xml:space="preserve">Kie</t>
        </is>
      </c>
      <c r="E108" s="59" t="inlineStr">
        <is>
          <t xml:space="preserve">OpenRouter</t>
        </is>
      </c>
      <c r="F108" s="59">
        <v>0.85</v>
      </c>
      <c r="G108" s="59">
        <v>4.275</v>
      </c>
      <c r="H108" s="59">
        <v>2.0</v>
      </c>
      <c r="I108" s="59">
        <v>10.0</v>
      </c>
      <c r="J108" s="59">
        <v>1</v>
      </c>
      <c r="K108" s="59">
        <v>2</v>
      </c>
      <c r="L108" s="59">
        <v>9600</v>
      </c>
      <c r="M108" s="59">
        <v>1200</v>
      </c>
      <c r="N108" s="59">
        <v>16000</v>
      </c>
      <c r="O108" s="59">
        <v>2000</v>
      </c>
      <c r="P108" s="59">
        <f>J108*(N108*F108+O108*G108)/1000000</f>
        <v>0.02215</v>
      </c>
      <c r="Q108" s="59">
        <f>K108*(N108*H108+O108*I108)/1000000</f>
        <v>0.104</v>
      </c>
      <c r="R108" s="59">
        <f>P108+Q108+IF("conspect"="conspect",$Q$3*($K$3*0.26+$N$3*1.56)/1000000,0)</f>
        <v>0.14362199999999997</v>
      </c>
      <c r="S108" s="59">
        <f>P108*IF(D108="OpenRouter",$E$3,$H$3)+Q108*IF(E108="OpenRouter",$E$3,$H$3)+IF("conspect"="conspect",$Q$3*($K$3*0.26+$N$3*1.56)/1000000,0)*$E$3</f>
        <v>15.127127629</v>
      </c>
      <c r="T108" s="60">
        <f>ROUNDUP(S108/($B$4*(1-$Q$4)),0)</f>
        <v>61</v>
      </c>
      <c r="U108" s="59">
        <f>1-S108/(T108*$B$4)</f>
        <v>0.2510496515184769</v>
      </c>
      <c r="V108" s="59">
        <v>0</v>
      </c>
      <c r="W108" s="59">
        <v>0</v>
      </c>
      <c r="X108" s="59">
        <v>3</v>
      </c>
      <c r="Y108" s="63" t="inlineStr">
        <is>
          <t xml:space="preserve">ACTIVE 25% Scenario band; uncached worst-route; conditional conspect; no user content. max/scene/16k/conspect</t>
        </is>
      </c>
      <c r="Z108" s="59">
        <v>1.0</v>
      </c>
      <c r="AA108" s="59">
        <v>1.0</v>
      </c>
      <c r="AB108" s="59" t="inlineStr">
        <is>
          <t xml:space="preserve">none</t>
        </is>
      </c>
      <c r="AC108" s="59">
        <v>0</v>
      </c>
      <c r="AD108" s="59" t="inlineStr">
        <is>
          <t xml:space="preserve">unverified_disabled</t>
        </is>
      </c>
      <c r="AE108" s="63" t="inlineStr">
        <is>
          <t xml:space="preserve">OWNER-GATED PROBE; 2026-08-15</t>
        </is>
      </c>
    </row>
    <row r="109">
      <c r="A109" s="59" t="inlineStr">
        <is>
          <t xml:space="preserve">scenario_assist_band</t>
        </is>
      </c>
      <c r="B109" s="59" t="inlineStr">
        <is>
          <t xml:space="preserve">max/scene/28k/no-conspect</t>
        </is>
      </c>
      <c r="C109" s="59" t="inlineStr">
        <is>
          <t xml:space="preserve">anthropic/claude-sonnet-5</t>
        </is>
      </c>
      <c r="D109" s="59" t="inlineStr">
        <is>
          <t xml:space="preserve">Kie</t>
        </is>
      </c>
      <c r="E109" s="59" t="inlineStr">
        <is>
          <t xml:space="preserve">OpenRouter</t>
        </is>
      </c>
      <c r="F109" s="59">
        <v>0.85</v>
      </c>
      <c r="G109" s="59">
        <v>4.275</v>
      </c>
      <c r="H109" s="59">
        <v>2.0</v>
      </c>
      <c r="I109" s="59">
        <v>10.0</v>
      </c>
      <c r="J109" s="59">
        <v>1</v>
      </c>
      <c r="K109" s="59">
        <v>2</v>
      </c>
      <c r="L109" s="59">
        <v>16800</v>
      </c>
      <c r="M109" s="59">
        <v>1200</v>
      </c>
      <c r="N109" s="59">
        <v>28000</v>
      </c>
      <c r="O109" s="59">
        <v>2000</v>
      </c>
      <c r="P109" s="59">
        <f>J109*(N109*F109+O109*G109)/1000000</f>
        <v>0.03235</v>
      </c>
      <c r="Q109" s="59">
        <f>K109*(N109*H109+O109*I109)/1000000</f>
        <v>0.152</v>
      </c>
      <c r="R109" s="59">
        <f>P109+Q109+0</f>
        <v>0.18434999999999999</v>
      </c>
      <c r="S109" s="59">
        <f>P109*IF(D109="OpenRouter",$E$3,$H$3)+Q109*IF(E109="OpenRouter",$E$3,$H$3)+0*$E$3</f>
        <v>19.395093025</v>
      </c>
      <c r="T109" s="60">
        <f>ROUNDUP(S109/($B$4*(1-$Q$4)),0)</f>
        <v>79</v>
      </c>
      <c r="U109" s="59">
        <f>1-S109/(T109*$B$4)</f>
        <v>0.2585341270885907</v>
      </c>
      <c r="V109" s="59">
        <v>0</v>
      </c>
      <c r="W109" s="59">
        <v>0</v>
      </c>
      <c r="X109" s="59">
        <v>3</v>
      </c>
      <c r="Y109" s="63" t="inlineStr">
        <is>
          <t xml:space="preserve">ACTIVE 25% Scenario band; uncached worst-route; conditional conspect; no user content. max/scene/28k/no-conspect</t>
        </is>
      </c>
      <c r="Z109" s="59">
        <v>1.0</v>
      </c>
      <c r="AA109" s="59">
        <v>1.0</v>
      </c>
      <c r="AB109" s="59" t="inlineStr">
        <is>
          <t xml:space="preserve">none</t>
        </is>
      </c>
      <c r="AC109" s="59">
        <v>0</v>
      </c>
      <c r="AD109" s="59" t="inlineStr">
        <is>
          <t xml:space="preserve">unverified_disabled</t>
        </is>
      </c>
      <c r="AE109" s="63" t="inlineStr">
        <is>
          <t xml:space="preserve">OWNER-GATED PROBE; 2026-08-15</t>
        </is>
      </c>
    </row>
    <row r="110">
      <c r="A110" s="59" t="inlineStr">
        <is>
          <t xml:space="preserve">scenario_assist_band</t>
        </is>
      </c>
      <c r="B110" s="59" t="inlineStr">
        <is>
          <t xml:space="preserve">max/scene/28k/conspect</t>
        </is>
      </c>
      <c r="C110" s="59" t="inlineStr">
        <is>
          <t xml:space="preserve">anthropic/claude-sonnet-5</t>
        </is>
      </c>
      <c r="D110" s="59" t="inlineStr">
        <is>
          <t xml:space="preserve">Kie</t>
        </is>
      </c>
      <c r="E110" s="59" t="inlineStr">
        <is>
          <t xml:space="preserve">OpenRouter</t>
        </is>
      </c>
      <c r="F110" s="59">
        <v>0.85</v>
      </c>
      <c r="G110" s="59">
        <v>4.275</v>
      </c>
      <c r="H110" s="59">
        <v>2.0</v>
      </c>
      <c r="I110" s="59">
        <v>10.0</v>
      </c>
      <c r="J110" s="59">
        <v>1</v>
      </c>
      <c r="K110" s="59">
        <v>2</v>
      </c>
      <c r="L110" s="59">
        <v>16800</v>
      </c>
      <c r="M110" s="59">
        <v>1200</v>
      </c>
      <c r="N110" s="59">
        <v>28000</v>
      </c>
      <c r="O110" s="59">
        <v>2000</v>
      </c>
      <c r="P110" s="59">
        <f>J110*(N110*F110+O110*G110)/1000000</f>
        <v>0.03235</v>
      </c>
      <c r="Q110" s="59">
        <f>K110*(N110*H110+O110*I110)/1000000</f>
        <v>0.152</v>
      </c>
      <c r="R110" s="59">
        <f>P110+Q110+IF("conspect"="conspect",$Q$3*($K$3*0.26+$N$3*1.56)/1000000,0)</f>
        <v>0.201822</v>
      </c>
      <c r="S110" s="59">
        <f>P110*IF(D110="OpenRouter",$E$3,$H$3)+Q110*IF(E110="OpenRouter",$E$3,$H$3)+IF("conspect"="conspect",$Q$3*($K$3*0.26+$N$3*1.56)/1000000,0)*$E$3</f>
        <v>21.250304929000002</v>
      </c>
      <c r="T110" s="60">
        <f>ROUNDUP(S110/($B$4*(1-$Q$4)),0)</f>
        <v>86</v>
      </c>
      <c r="U110" s="59">
        <f>1-S110/(T110*$B$4)</f>
        <v>0.25373494404637564</v>
      </c>
      <c r="V110" s="59">
        <v>0</v>
      </c>
      <c r="W110" s="59">
        <v>0</v>
      </c>
      <c r="X110" s="59">
        <v>3</v>
      </c>
      <c r="Y110" s="63" t="inlineStr">
        <is>
          <t xml:space="preserve">ACTIVE 25% Scenario band; uncached worst-route; conditional conspect; no user content. max/scene/28k/conspect</t>
        </is>
      </c>
      <c r="Z110" s="59">
        <v>1.0</v>
      </c>
      <c r="AA110" s="59">
        <v>1.0</v>
      </c>
      <c r="AB110" s="59" t="inlineStr">
        <is>
          <t xml:space="preserve">none</t>
        </is>
      </c>
      <c r="AC110" s="59">
        <v>0</v>
      </c>
      <c r="AD110" s="59" t="inlineStr">
        <is>
          <t xml:space="preserve">unverified_disabled</t>
        </is>
      </c>
      <c r="AE110" s="63" t="inlineStr">
        <is>
          <t xml:space="preserve">OWNER-GATED PROBE; 2026-08-15</t>
        </is>
      </c>
    </row>
    <row r="111">
      <c r="A111" s="59" t="inlineStr">
        <is>
          <t xml:space="preserve">scenario_assist_band</t>
        </is>
      </c>
      <c r="B111" s="59" t="inlineStr">
        <is>
          <t xml:space="preserve">max/script/16k/no-conspect</t>
        </is>
      </c>
      <c r="C111" s="59" t="inlineStr">
        <is>
          <t xml:space="preserve">anthropic/claude-sonnet-5</t>
        </is>
      </c>
      <c r="D111" s="59" t="inlineStr">
        <is>
          <t xml:space="preserve">Kie</t>
        </is>
      </c>
      <c r="E111" s="59" t="inlineStr">
        <is>
          <t xml:space="preserve">OpenRouter</t>
        </is>
      </c>
      <c r="F111" s="59">
        <v>0.85</v>
      </c>
      <c r="G111" s="59">
        <v>4.275</v>
      </c>
      <c r="H111" s="59">
        <v>2.0</v>
      </c>
      <c r="I111" s="59">
        <v>10.0</v>
      </c>
      <c r="J111" s="59">
        <v>1</v>
      </c>
      <c r="K111" s="59">
        <v>2</v>
      </c>
      <c r="L111" s="59">
        <v>9600</v>
      </c>
      <c r="M111" s="59">
        <v>1500</v>
      </c>
      <c r="N111" s="59">
        <v>16000</v>
      </c>
      <c r="O111" s="59">
        <v>2500</v>
      </c>
      <c r="P111" s="59">
        <f>J111*(N111*F111+O111*G111)/1000000</f>
        <v>0.0242875</v>
      </c>
      <c r="Q111" s="59">
        <f>K111*(N111*H111+O111*I111)/1000000</f>
        <v>0.114</v>
      </c>
      <c r="R111" s="59">
        <f>P111+Q111+0</f>
        <v>0.1382875</v>
      </c>
      <c r="S111" s="59">
        <f>P111*IF(D111="OpenRouter",$E$3,$H$3)+Q111*IF(E111="OpenRouter",$E$3,$H$3)+0*$E$3</f>
        <v>14.548835556250001</v>
      </c>
      <c r="T111" s="60">
        <f>ROUNDUP(S111/($B$4*(1-$Q$4)),0)</f>
        <v>59</v>
      </c>
      <c r="U111" s="59">
        <f>1-S111/(T111*$B$4)</f>
        <v>0.2552635425679616</v>
      </c>
      <c r="V111" s="59">
        <v>0</v>
      </c>
      <c r="W111" s="59">
        <v>0</v>
      </c>
      <c r="X111" s="59">
        <v>3</v>
      </c>
      <c r="Y111" s="63" t="inlineStr">
        <is>
          <t xml:space="preserve">ACTIVE 25% Scenario band; uncached worst-route; conditional conspect; no user content. max/script/16k/no-conspect</t>
        </is>
      </c>
      <c r="Z111" s="59">
        <v>1.0</v>
      </c>
      <c r="AA111" s="59">
        <v>1.0</v>
      </c>
      <c r="AB111" s="59" t="inlineStr">
        <is>
          <t xml:space="preserve">none</t>
        </is>
      </c>
      <c r="AC111" s="59">
        <v>0</v>
      </c>
      <c r="AD111" s="59" t="inlineStr">
        <is>
          <t xml:space="preserve">unverified_disabled</t>
        </is>
      </c>
      <c r="AE111" s="63" t="inlineStr">
        <is>
          <t xml:space="preserve">OWNER-GATED PROBE; 2026-08-15</t>
        </is>
      </c>
    </row>
    <row r="112">
      <c r="A112" s="59" t="inlineStr">
        <is>
          <t xml:space="preserve">scenario_assist_band</t>
        </is>
      </c>
      <c r="B112" s="59" t="inlineStr">
        <is>
          <t xml:space="preserve">max/script/16k/conspect</t>
        </is>
      </c>
      <c r="C112" s="59" t="inlineStr">
        <is>
          <t xml:space="preserve">anthropic/claude-sonnet-5</t>
        </is>
      </c>
      <c r="D112" s="59" t="inlineStr">
        <is>
          <t xml:space="preserve">Kie</t>
        </is>
      </c>
      <c r="E112" s="59" t="inlineStr">
        <is>
          <t xml:space="preserve">OpenRouter</t>
        </is>
      </c>
      <c r="F112" s="59">
        <v>0.85</v>
      </c>
      <c r="G112" s="59">
        <v>4.275</v>
      </c>
      <c r="H112" s="59">
        <v>2.0</v>
      </c>
      <c r="I112" s="59">
        <v>10.0</v>
      </c>
      <c r="J112" s="59">
        <v>1</v>
      </c>
      <c r="K112" s="59">
        <v>2</v>
      </c>
      <c r="L112" s="59">
        <v>9600</v>
      </c>
      <c r="M112" s="59">
        <v>1500</v>
      </c>
      <c r="N112" s="59">
        <v>16000</v>
      </c>
      <c r="O112" s="59">
        <v>2500</v>
      </c>
      <c r="P112" s="59">
        <f>J112*(N112*F112+O112*G112)/1000000</f>
        <v>0.0242875</v>
      </c>
      <c r="Q112" s="59">
        <f>K112*(N112*H112+O112*I112)/1000000</f>
        <v>0.114</v>
      </c>
      <c r="R112" s="59">
        <f>P112+Q112+IF("conspect"="conspect",$Q$3*($K$3*0.26+$N$3*1.56)/1000000,0)</f>
        <v>0.1557595</v>
      </c>
      <c r="S112" s="59">
        <f>P112*IF(D112="OpenRouter",$E$3,$H$3)+Q112*IF(E112="OpenRouter",$E$3,$H$3)+IF("conspect"="conspect",$Q$3*($K$3*0.26+$N$3*1.56)/1000000,0)*$E$3</f>
        <v>16.404047460250002</v>
      </c>
      <c r="T112" s="60">
        <f>ROUNDUP(S112/($B$4*(1-$Q$4)),0)</f>
        <v>67</v>
      </c>
      <c r="U112" s="59">
        <f>1-S112/(T112*$B$4)</f>
        <v>0.2605605695447668</v>
      </c>
      <c r="V112" s="59">
        <v>0</v>
      </c>
      <c r="W112" s="59">
        <v>0</v>
      </c>
      <c r="X112" s="59">
        <v>3</v>
      </c>
      <c r="Y112" s="63" t="inlineStr">
        <is>
          <t xml:space="preserve">ACTIVE 25% Scenario band; uncached worst-route; conditional conspect; no user content. max/script/16k/conspect</t>
        </is>
      </c>
      <c r="Z112" s="59">
        <v>1.0</v>
      </c>
      <c r="AA112" s="59">
        <v>1.0</v>
      </c>
      <c r="AB112" s="59" t="inlineStr">
        <is>
          <t xml:space="preserve">none</t>
        </is>
      </c>
      <c r="AC112" s="59">
        <v>0</v>
      </c>
      <c r="AD112" s="59" t="inlineStr">
        <is>
          <t xml:space="preserve">unverified_disabled</t>
        </is>
      </c>
      <c r="AE112" s="63" t="inlineStr">
        <is>
          <t xml:space="preserve">OWNER-GATED PROBE; 2026-08-15</t>
        </is>
      </c>
    </row>
    <row r="113">
      <c r="A113" s="59" t="inlineStr">
        <is>
          <t xml:space="preserve">scenario_assist_band</t>
        </is>
      </c>
      <c r="B113" s="59" t="inlineStr">
        <is>
          <t xml:space="preserve">max/script/32k/no-conspect</t>
        </is>
      </c>
      <c r="C113" s="59" t="inlineStr">
        <is>
          <t xml:space="preserve">anthropic/claude-sonnet-5</t>
        </is>
      </c>
      <c r="D113" s="59" t="inlineStr">
        <is>
          <t xml:space="preserve">Kie</t>
        </is>
      </c>
      <c r="E113" s="59" t="inlineStr">
        <is>
          <t xml:space="preserve">OpenRouter</t>
        </is>
      </c>
      <c r="F113" s="59">
        <v>0.85</v>
      </c>
      <c r="G113" s="59">
        <v>4.275</v>
      </c>
      <c r="H113" s="59">
        <v>2.0</v>
      </c>
      <c r="I113" s="59">
        <v>10.0</v>
      </c>
      <c r="J113" s="59">
        <v>1</v>
      </c>
      <c r="K113" s="59">
        <v>2</v>
      </c>
      <c r="L113" s="59">
        <v>19200</v>
      </c>
      <c r="M113" s="59">
        <v>1500</v>
      </c>
      <c r="N113" s="59">
        <v>32000</v>
      </c>
      <c r="O113" s="59">
        <v>2500</v>
      </c>
      <c r="P113" s="59">
        <f>J113*(N113*F113+O113*G113)/1000000</f>
        <v>0.0378875</v>
      </c>
      <c r="Q113" s="59">
        <f>K113*(N113*H113+O113*I113)/1000000</f>
        <v>0.178</v>
      </c>
      <c r="R113" s="59">
        <f>P113+Q113+0</f>
        <v>0.21588749999999998</v>
      </c>
      <c r="S113" s="59">
        <f>P113*IF(D113="OpenRouter",$E$3,$H$3)+Q113*IF(E113="OpenRouter",$E$3,$H$3)+0*$E$3</f>
        <v>22.71307195625</v>
      </c>
      <c r="T113" s="60">
        <f>ROUNDUP(S113/($B$4*(1-$Q$4)),0)</f>
        <v>92</v>
      </c>
      <c r="U113" s="59">
        <f>1-S113/(T113*$B$4)</f>
        <v>0.2543853362897611</v>
      </c>
      <c r="V113" s="59">
        <v>0</v>
      </c>
      <c r="W113" s="59">
        <v>0</v>
      </c>
      <c r="X113" s="59">
        <v>3</v>
      </c>
      <c r="Y113" s="63" t="inlineStr">
        <is>
          <t xml:space="preserve">ACTIVE 25% Scenario band; uncached worst-route; conditional conspect; no user content. max/script/32k/no-conspect</t>
        </is>
      </c>
      <c r="Z113" s="59">
        <v>1.0</v>
      </c>
      <c r="AA113" s="59">
        <v>1.0</v>
      </c>
      <c r="AB113" s="59" t="inlineStr">
        <is>
          <t xml:space="preserve">none</t>
        </is>
      </c>
      <c r="AC113" s="59">
        <v>0</v>
      </c>
      <c r="AD113" s="59" t="inlineStr">
        <is>
          <t xml:space="preserve">unverified_disabled</t>
        </is>
      </c>
      <c r="AE113" s="63" t="inlineStr">
        <is>
          <t xml:space="preserve">OWNER-GATED PROBE; 2026-08-15</t>
        </is>
      </c>
    </row>
    <row r="114">
      <c r="A114" s="59" t="inlineStr">
        <is>
          <t xml:space="preserve">scenario_assist_band</t>
        </is>
      </c>
      <c r="B114" s="59" t="inlineStr">
        <is>
          <t xml:space="preserve">max/script/32k/conspect</t>
        </is>
      </c>
      <c r="C114" s="59" t="inlineStr">
        <is>
          <t xml:space="preserve">anthropic/claude-sonnet-5</t>
        </is>
      </c>
      <c r="D114" s="59" t="inlineStr">
        <is>
          <t xml:space="preserve">Kie</t>
        </is>
      </c>
      <c r="E114" s="59" t="inlineStr">
        <is>
          <t xml:space="preserve">OpenRouter</t>
        </is>
      </c>
      <c r="F114" s="59">
        <v>0.85</v>
      </c>
      <c r="G114" s="59">
        <v>4.275</v>
      </c>
      <c r="H114" s="59">
        <v>2.0</v>
      </c>
      <c r="I114" s="59">
        <v>10.0</v>
      </c>
      <c r="J114" s="59">
        <v>1</v>
      </c>
      <c r="K114" s="59">
        <v>2</v>
      </c>
      <c r="L114" s="59">
        <v>19200</v>
      </c>
      <c r="M114" s="59">
        <v>1500</v>
      </c>
      <c r="N114" s="59">
        <v>32000</v>
      </c>
      <c r="O114" s="59">
        <v>2500</v>
      </c>
      <c r="P114" s="59">
        <f>J114*(N114*F114+O114*G114)/1000000</f>
        <v>0.0378875</v>
      </c>
      <c r="Q114" s="59">
        <f>K114*(N114*H114+O114*I114)/1000000</f>
        <v>0.178</v>
      </c>
      <c r="R114" s="59">
        <f>P114+Q114+IF("conspect"="conspect",$Q$3*($K$3*0.26+$N$3*1.56)/1000000,0)</f>
        <v>0.2333595</v>
      </c>
      <c r="S114" s="59">
        <f>P114*IF(D114="OpenRouter",$E$3,$H$3)+Q114*IF(E114="OpenRouter",$E$3,$H$3)+IF("conspect"="conspect",$Q$3*($K$3*0.26+$N$3*1.56)/1000000,0)*$E$3</f>
        <v>24.568283860250002</v>
      </c>
      <c r="T114" s="60">
        <f>ROUNDUP(S114/($B$4*(1-$Q$4)),0)</f>
        <v>99</v>
      </c>
      <c r="U114" s="59">
        <f>1-S114/(T114*$B$4)</f>
        <v>0.25050969784492605</v>
      </c>
      <c r="V114" s="59">
        <v>0</v>
      </c>
      <c r="W114" s="59">
        <v>0</v>
      </c>
      <c r="X114" s="59">
        <v>3</v>
      </c>
      <c r="Y114" s="63" t="inlineStr">
        <is>
          <t xml:space="preserve">ACTIVE 25% Scenario band; uncached worst-route; conditional conspect; no user content. max/script/32k/conspect</t>
        </is>
      </c>
      <c r="Z114" s="59">
        <v>1.0</v>
      </c>
      <c r="AA114" s="59">
        <v>1.0</v>
      </c>
      <c r="AB114" s="59" t="inlineStr">
        <is>
          <t xml:space="preserve">none</t>
        </is>
      </c>
      <c r="AC114" s="59">
        <v>0</v>
      </c>
      <c r="AD114" s="59" t="inlineStr">
        <is>
          <t xml:space="preserve">unverified_disabled</t>
        </is>
      </c>
      <c r="AE114" s="63" t="inlineStr">
        <is>
          <t xml:space="preserve">OWNER-GATED PROBE; 2026-08-15</t>
        </is>
      </c>
    </row>
    <row r="115">
      <c r="A115" s="59" t="inlineStr">
        <is>
          <t xml:space="preserve">scenario_assist_band</t>
        </is>
      </c>
      <c r="B115" s="59" t="inlineStr">
        <is>
          <t xml:space="preserve">max/script/48k/no-conspect</t>
        </is>
      </c>
      <c r="C115" s="59" t="inlineStr">
        <is>
          <t xml:space="preserve">anthropic/claude-sonnet-5</t>
        </is>
      </c>
      <c r="D115" s="59" t="inlineStr">
        <is>
          <t xml:space="preserve">Kie</t>
        </is>
      </c>
      <c r="E115" s="59" t="inlineStr">
        <is>
          <t xml:space="preserve">OpenRouter</t>
        </is>
      </c>
      <c r="F115" s="59">
        <v>0.85</v>
      </c>
      <c r="G115" s="59">
        <v>4.275</v>
      </c>
      <c r="H115" s="59">
        <v>2.0</v>
      </c>
      <c r="I115" s="59">
        <v>10.0</v>
      </c>
      <c r="J115" s="59">
        <v>1</v>
      </c>
      <c r="K115" s="59">
        <v>2</v>
      </c>
      <c r="L115" s="59">
        <v>28800</v>
      </c>
      <c r="M115" s="59">
        <v>1500</v>
      </c>
      <c r="N115" s="59">
        <v>48000</v>
      </c>
      <c r="O115" s="59">
        <v>2500</v>
      </c>
      <c r="P115" s="59">
        <f>J115*(N115*F115+O115*G115)/1000000</f>
        <v>0.0514875</v>
      </c>
      <c r="Q115" s="59">
        <f>K115*(N115*H115+O115*I115)/1000000</f>
        <v>0.242</v>
      </c>
      <c r="R115" s="59">
        <f>P115+Q115+0</f>
        <v>0.2934875</v>
      </c>
      <c r="S115" s="59">
        <f>P115*IF(D115="OpenRouter",$E$3,$H$3)+Q115*IF(E115="OpenRouter",$E$3,$H$3)+0*$E$3</f>
        <v>30.87730835625</v>
      </c>
      <c r="T115" s="60">
        <f>ROUNDUP(S115/($B$4*(1-$Q$4)),0)</f>
        <v>125</v>
      </c>
      <c r="U115" s="59">
        <f>1-S115/(T115*$B$4)</f>
        <v>0.25397082292645057</v>
      </c>
      <c r="V115" s="59">
        <v>0</v>
      </c>
      <c r="W115" s="59">
        <v>0</v>
      </c>
      <c r="X115" s="59">
        <v>3</v>
      </c>
      <c r="Y115" s="63" t="inlineStr">
        <is>
          <t xml:space="preserve">ACTIVE 25% Scenario band; uncached worst-route; conditional conspect; no user content. max/script/48k/no-conspect</t>
        </is>
      </c>
      <c r="Z115" s="59">
        <v>1.0</v>
      </c>
      <c r="AA115" s="59">
        <v>1.0</v>
      </c>
      <c r="AB115" s="59" t="inlineStr">
        <is>
          <t xml:space="preserve">none</t>
        </is>
      </c>
      <c r="AC115" s="59">
        <v>0</v>
      </c>
      <c r="AD115" s="59" t="inlineStr">
        <is>
          <t xml:space="preserve">unverified_disabled</t>
        </is>
      </c>
      <c r="AE115" s="63" t="inlineStr">
        <is>
          <t xml:space="preserve">OWNER-GATED PROBE; 2026-08-15</t>
        </is>
      </c>
    </row>
    <row r="116">
      <c r="A116" s="59" t="inlineStr">
        <is>
          <t xml:space="preserve">scenario_assist_band</t>
        </is>
      </c>
      <c r="B116" s="59" t="inlineStr">
        <is>
          <t xml:space="preserve">max/script/48k/conspect</t>
        </is>
      </c>
      <c r="C116" s="59" t="inlineStr">
        <is>
          <t xml:space="preserve">anthropic/claude-sonnet-5</t>
        </is>
      </c>
      <c r="D116" s="59" t="inlineStr">
        <is>
          <t xml:space="preserve">Kie</t>
        </is>
      </c>
      <c r="E116" s="59" t="inlineStr">
        <is>
          <t xml:space="preserve">OpenRouter</t>
        </is>
      </c>
      <c r="F116" s="59">
        <v>0.85</v>
      </c>
      <c r="G116" s="59">
        <v>4.275</v>
      </c>
      <c r="H116" s="59">
        <v>2.0</v>
      </c>
      <c r="I116" s="59">
        <v>10.0</v>
      </c>
      <c r="J116" s="59">
        <v>1</v>
      </c>
      <c r="K116" s="59">
        <v>2</v>
      </c>
      <c r="L116" s="59">
        <v>28800</v>
      </c>
      <c r="M116" s="59">
        <v>1500</v>
      </c>
      <c r="N116" s="59">
        <v>48000</v>
      </c>
      <c r="O116" s="59">
        <v>2500</v>
      </c>
      <c r="P116" s="59">
        <f>J116*(N116*F116+O116*G116)/1000000</f>
        <v>0.0514875</v>
      </c>
      <c r="Q116" s="59">
        <f>K116*(N116*H116+O116*I116)/1000000</f>
        <v>0.242</v>
      </c>
      <c r="R116" s="59">
        <f>P116+Q116+IF("conspect"="conspect",$Q$3*($K$3*0.26+$N$3*1.56)/1000000,0)</f>
        <v>0.3109595</v>
      </c>
      <c r="S116" s="59">
        <f>P116*IF(D116="OpenRouter",$E$3,$H$3)+Q116*IF(E116="OpenRouter",$E$3,$H$3)+IF("conspect"="conspect",$Q$3*($K$3*0.26+$N$3*1.56)/1000000,0)*$E$3</f>
        <v>32.73252026025</v>
      </c>
      <c r="T116" s="60">
        <f>ROUNDUP(S116/($B$4*(1-$Q$4)),0)</f>
        <v>132</v>
      </c>
      <c r="U116" s="59">
        <f>1-S116/(T116*$B$4)</f>
        <v>0.25108607586209075</v>
      </c>
      <c r="V116" s="59">
        <v>0</v>
      </c>
      <c r="W116" s="59">
        <v>0</v>
      </c>
      <c r="X116" s="59">
        <v>3</v>
      </c>
      <c r="Y116" s="63" t="inlineStr">
        <is>
          <t xml:space="preserve">ACTIVE 25% Scenario band; uncached worst-route; conditional conspect; no user content. max/script/48k/conspect</t>
        </is>
      </c>
      <c r="Z116" s="59">
        <v>1.0</v>
      </c>
      <c r="AA116" s="59">
        <v>1.0</v>
      </c>
      <c r="AB116" s="59" t="inlineStr">
        <is>
          <t xml:space="preserve">none</t>
        </is>
      </c>
      <c r="AC116" s="59">
        <v>0</v>
      </c>
      <c r="AD116" s="59" t="inlineStr">
        <is>
          <t xml:space="preserve">unverified_disabled</t>
        </is>
      </c>
      <c r="AE116" s="63" t="inlineStr">
        <is>
          <t xml:space="preserve">OWNER-GATED PROBE; 2026-08-15</t>
        </is>
      </c>
    </row>
    <row r="117">
      <c r="A117" s="59" t="inlineStr">
        <is>
          <t xml:space="preserve">scenario_assist_band</t>
        </is>
      </c>
      <c r="B117" s="59" t="inlineStr">
        <is>
          <t xml:space="preserve">max/script/64k/no-conspect</t>
        </is>
      </c>
      <c r="C117" s="59" t="inlineStr">
        <is>
          <t xml:space="preserve">anthropic/claude-sonnet-5</t>
        </is>
      </c>
      <c r="D117" s="59" t="inlineStr">
        <is>
          <t xml:space="preserve">Kie</t>
        </is>
      </c>
      <c r="E117" s="59" t="inlineStr">
        <is>
          <t xml:space="preserve">OpenRouter</t>
        </is>
      </c>
      <c r="F117" s="59">
        <v>0.85</v>
      </c>
      <c r="G117" s="59">
        <v>4.275</v>
      </c>
      <c r="H117" s="59">
        <v>2.0</v>
      </c>
      <c r="I117" s="59">
        <v>10.0</v>
      </c>
      <c r="J117" s="59">
        <v>1</v>
      </c>
      <c r="K117" s="59">
        <v>2</v>
      </c>
      <c r="L117" s="59">
        <v>38400</v>
      </c>
      <c r="M117" s="59">
        <v>1500</v>
      </c>
      <c r="N117" s="59">
        <v>64000</v>
      </c>
      <c r="O117" s="59">
        <v>2500</v>
      </c>
      <c r="P117" s="59">
        <f>J117*(N117*F117+O117*G117)/1000000</f>
        <v>0.0650875</v>
      </c>
      <c r="Q117" s="59">
        <f>K117*(N117*H117+O117*I117)/1000000</f>
        <v>0.306</v>
      </c>
      <c r="R117" s="59">
        <f>P117+Q117+0</f>
        <v>0.3710875</v>
      </c>
      <c r="S117" s="59">
        <f>P117*IF(D117="OpenRouter",$E$3,$H$3)+Q117*IF(E117="OpenRouter",$E$3,$H$3)+0*$E$3</f>
        <v>39.041544756250005</v>
      </c>
      <c r="T117" s="60">
        <f>ROUNDUP(S117/($B$4*(1-$Q$4)),0)</f>
        <v>158</v>
      </c>
      <c r="U117" s="59">
        <f>1-S117/(T117*$B$4)</f>
        <v>0.25372946071490254</v>
      </c>
      <c r="V117" s="59">
        <v>0</v>
      </c>
      <c r="W117" s="59">
        <v>0</v>
      </c>
      <c r="X117" s="59">
        <v>3</v>
      </c>
      <c r="Y117" s="63" t="inlineStr">
        <is>
          <t xml:space="preserve">ACTIVE 25% Scenario band; uncached worst-route; conditional conspect; no user content. max/script/64k/no-conspect</t>
        </is>
      </c>
      <c r="Z117" s="59">
        <v>1.0</v>
      </c>
      <c r="AA117" s="59">
        <v>1.0</v>
      </c>
      <c r="AB117" s="59" t="inlineStr">
        <is>
          <t xml:space="preserve">none</t>
        </is>
      </c>
      <c r="AC117" s="59">
        <v>0</v>
      </c>
      <c r="AD117" s="59" t="inlineStr">
        <is>
          <t xml:space="preserve">unverified_disabled</t>
        </is>
      </c>
      <c r="AE117" s="63" t="inlineStr">
        <is>
          <t xml:space="preserve">OWNER-GATED PROBE; 2026-08-15</t>
        </is>
      </c>
    </row>
    <row r="118">
      <c r="A118" s="59" t="inlineStr">
        <is>
          <t xml:space="preserve">scenario_assist_band</t>
        </is>
      </c>
      <c r="B118" s="59" t="inlineStr">
        <is>
          <t xml:space="preserve">max/script/64k/conspect</t>
        </is>
      </c>
      <c r="C118" s="59" t="inlineStr">
        <is>
          <t xml:space="preserve">anthropic/claude-sonnet-5</t>
        </is>
      </c>
      <c r="D118" s="59" t="inlineStr">
        <is>
          <t xml:space="preserve">Kie</t>
        </is>
      </c>
      <c r="E118" s="59" t="inlineStr">
        <is>
          <t xml:space="preserve">OpenRouter</t>
        </is>
      </c>
      <c r="F118" s="59">
        <v>0.85</v>
      </c>
      <c r="G118" s="59">
        <v>4.275</v>
      </c>
      <c r="H118" s="59">
        <v>2.0</v>
      </c>
      <c r="I118" s="59">
        <v>10.0</v>
      </c>
      <c r="J118" s="59">
        <v>1</v>
      </c>
      <c r="K118" s="59">
        <v>2</v>
      </c>
      <c r="L118" s="59">
        <v>38400</v>
      </c>
      <c r="M118" s="59">
        <v>1500</v>
      </c>
      <c r="N118" s="59">
        <v>64000</v>
      </c>
      <c r="O118" s="59">
        <v>2500</v>
      </c>
      <c r="P118" s="59">
        <f>J118*(N118*F118+O118*G118)/1000000</f>
        <v>0.0650875</v>
      </c>
      <c r="Q118" s="59">
        <f>K118*(N118*H118+O118*I118)/1000000</f>
        <v>0.306</v>
      </c>
      <c r="R118" s="59">
        <f>P118+Q118+IF("conspect"="conspect",$Q$3*($K$3*0.26+$N$3*1.56)/1000000,0)</f>
        <v>0.3885595</v>
      </c>
      <c r="S118" s="59">
        <f>P118*IF(D118="OpenRouter",$E$3,$H$3)+Q118*IF(E118="OpenRouter",$E$3,$H$3)+IF("conspect"="conspect",$Q$3*($K$3*0.26+$N$3*1.56)/1000000,0)*$E$3</f>
        <v>40.896756660250006</v>
      </c>
      <c r="T118" s="60">
        <f>ROUNDUP(S118/($B$4*(1-$Q$4)),0)</f>
        <v>165</v>
      </c>
      <c r="U118" s="59">
        <f>1-S118/(T118*$B$4)</f>
        <v>0.25143190267238935</v>
      </c>
      <c r="V118" s="59">
        <v>0</v>
      </c>
      <c r="W118" s="59">
        <v>0</v>
      </c>
      <c r="X118" s="59">
        <v>3</v>
      </c>
      <c r="Y118" s="63" t="inlineStr">
        <is>
          <t xml:space="preserve">ACTIVE 25% Scenario band; uncached worst-route; conditional conspect; no user content. max/script/64k/conspect</t>
        </is>
      </c>
      <c r="Z118" s="59">
        <v>1.0</v>
      </c>
      <c r="AA118" s="59">
        <v>1.0</v>
      </c>
      <c r="AB118" s="59" t="inlineStr">
        <is>
          <t xml:space="preserve">none</t>
        </is>
      </c>
      <c r="AC118" s="59">
        <v>0</v>
      </c>
      <c r="AD118" s="59" t="inlineStr">
        <is>
          <t xml:space="preserve">unverified_disabled</t>
        </is>
      </c>
      <c r="AE118" s="63" t="inlineStr">
        <is>
          <t xml:space="preserve">OWNER-GATED PROBE; 2026-08-15</t>
        </is>
      </c>
    </row>
    <row r="119">
      <c r="A119" s="59" t="inlineStr">
        <is>
          <t xml:space="preserve">scenario_assist_band</t>
        </is>
      </c>
      <c r="B119" s="59" t="inlineStr">
        <is>
          <t xml:space="preserve">max/script/83_8k/no-conspect</t>
        </is>
      </c>
      <c r="C119" s="59" t="inlineStr">
        <is>
          <t xml:space="preserve">anthropic/claude-sonnet-5</t>
        </is>
      </c>
      <c r="D119" s="59" t="inlineStr">
        <is>
          <t xml:space="preserve">Kie</t>
        </is>
      </c>
      <c r="E119" s="59" t="inlineStr">
        <is>
          <t xml:space="preserve">OpenRouter</t>
        </is>
      </c>
      <c r="F119" s="59">
        <v>0.85</v>
      </c>
      <c r="G119" s="59">
        <v>4.275</v>
      </c>
      <c r="H119" s="59">
        <v>2.0</v>
      </c>
      <c r="I119" s="59">
        <v>10.0</v>
      </c>
      <c r="J119" s="59">
        <v>1</v>
      </c>
      <c r="K119" s="59">
        <v>2</v>
      </c>
      <c r="L119" s="59">
        <v>50280</v>
      </c>
      <c r="M119" s="59">
        <v>1500</v>
      </c>
      <c r="N119" s="59">
        <v>83800</v>
      </c>
      <c r="O119" s="59">
        <v>2500</v>
      </c>
      <c r="P119" s="59">
        <f>J119*(N119*F119+O119*G119)/1000000</f>
        <v>0.0819175</v>
      </c>
      <c r="Q119" s="59">
        <f>K119*(N119*H119+O119*I119)/1000000</f>
        <v>0.3852</v>
      </c>
      <c r="R119" s="59">
        <f>P119+Q119+0</f>
        <v>0.46711749999999996</v>
      </c>
      <c r="S119" s="59">
        <f>P119*IF(D119="OpenRouter",$E$3,$H$3)+Q119*IF(E119="OpenRouter",$E$3,$H$3)+0*$E$3</f>
        <v>49.144787301250005</v>
      </c>
      <c r="T119" s="60">
        <f>ROUNDUP(S119/($B$4*(1-$Q$4)),0)</f>
        <v>198</v>
      </c>
      <c r="U119" s="59">
        <f>1-S119/(T119*$B$4)</f>
        <v>0.25038432286768</v>
      </c>
      <c r="V119" s="59">
        <v>0</v>
      </c>
      <c r="W119" s="59">
        <v>0</v>
      </c>
      <c r="X119" s="59">
        <v>3</v>
      </c>
      <c r="Y119" s="63" t="inlineStr">
        <is>
          <t xml:space="preserve">ACTIVE 25% Scenario band; uncached worst-route; conditional conspect; no user content. max/script/83_8k/no-conspect</t>
        </is>
      </c>
      <c r="Z119" s="59">
        <v>1.0</v>
      </c>
      <c r="AA119" s="59">
        <v>1.0</v>
      </c>
      <c r="AB119" s="59" t="inlineStr">
        <is>
          <t xml:space="preserve">none</t>
        </is>
      </c>
      <c r="AC119" s="59">
        <v>0</v>
      </c>
      <c r="AD119" s="59" t="inlineStr">
        <is>
          <t xml:space="preserve">unverified_disabled</t>
        </is>
      </c>
      <c r="AE119" s="63" t="inlineStr">
        <is>
          <t xml:space="preserve">OWNER-GATED PROBE; 2026-08-15</t>
        </is>
      </c>
    </row>
    <row r="120">
      <c r="A120" s="59" t="inlineStr">
        <is>
          <t xml:space="preserve">scenario_assist_band</t>
        </is>
      </c>
      <c r="B120" s="59" t="inlineStr">
        <is>
          <t xml:space="preserve">max/script/83_8k/conspect</t>
        </is>
      </c>
      <c r="C120" s="59" t="inlineStr">
        <is>
          <t xml:space="preserve">anthropic/claude-sonnet-5</t>
        </is>
      </c>
      <c r="D120" s="59" t="inlineStr">
        <is>
          <t xml:space="preserve">Kie</t>
        </is>
      </c>
      <c r="E120" s="59" t="inlineStr">
        <is>
          <t xml:space="preserve">OpenRouter</t>
        </is>
      </c>
      <c r="F120" s="59">
        <v>0.85</v>
      </c>
      <c r="G120" s="59">
        <v>4.275</v>
      </c>
      <c r="H120" s="59">
        <v>2.0</v>
      </c>
      <c r="I120" s="59">
        <v>10.0</v>
      </c>
      <c r="J120" s="59">
        <v>1</v>
      </c>
      <c r="K120" s="59">
        <v>2</v>
      </c>
      <c r="L120" s="59">
        <v>50280</v>
      </c>
      <c r="M120" s="59">
        <v>1500</v>
      </c>
      <c r="N120" s="59">
        <v>83800</v>
      </c>
      <c r="O120" s="59">
        <v>2500</v>
      </c>
      <c r="P120" s="59">
        <f>J120*(N120*F120+O120*G120)/1000000</f>
        <v>0.0819175</v>
      </c>
      <c r="Q120" s="59">
        <f>K120*(N120*H120+O120*I120)/1000000</f>
        <v>0.3852</v>
      </c>
      <c r="R120" s="59">
        <f>P120+Q120+IF("conspect"="conspect",$Q$3*($K$3*0.26+$N$3*1.56)/1000000,0)</f>
        <v>0.48458949999999995</v>
      </c>
      <c r="S120" s="59">
        <f>P120*IF(D120="OpenRouter",$E$3,$H$3)+Q120*IF(E120="OpenRouter",$E$3,$H$3)+IF("conspect"="conspect",$Q$3*($K$3*0.26+$N$3*1.56)/1000000,0)*$E$3</f>
        <v>50.999999205250006</v>
      </c>
      <c r="T120" s="60">
        <f>ROUNDUP(S120/($B$4*(1-$Q$4)),0)</f>
        <v>206</v>
      </c>
      <c r="U120" s="59">
        <f>1-S120/(T120*$B$4)</f>
        <v>0.2522966265815062</v>
      </c>
      <c r="V120" s="59">
        <v>0</v>
      </c>
      <c r="W120" s="59">
        <v>0</v>
      </c>
      <c r="X120" s="59">
        <v>3</v>
      </c>
      <c r="Y120" s="63" t="inlineStr">
        <is>
          <t xml:space="preserve">ACTIVE 25% Scenario band; uncached worst-route; conditional conspect; no user content. max/script/83_8k/conspect</t>
        </is>
      </c>
      <c r="Z120" s="59">
        <v>1.0</v>
      </c>
      <c r="AA120" s="59">
        <v>1.0</v>
      </c>
      <c r="AB120" s="59" t="inlineStr">
        <is>
          <t xml:space="preserve">none</t>
        </is>
      </c>
      <c r="AC120" s="59">
        <v>0</v>
      </c>
      <c r="AD120" s="59" t="inlineStr">
        <is>
          <t xml:space="preserve">unverified_disabled</t>
        </is>
      </c>
      <c r="AE120" s="63" t="inlineStr">
        <is>
          <t xml:space="preserve">OWNER-GATED PROBE; 2026-08-15</t>
        </is>
      </c>
    </row>
    <row r="121">
      <c r="A121" s="59" t="inlineStr">
        <is>
          <t xml:space="preserve">scenario_structurize_active</t>
        </is>
      </c>
      <c r="B121" s="59" t="inlineStr">
        <is>
          <t xml:space="preserve">economy/active</t>
        </is>
      </c>
      <c r="C121" s="59" t="inlineStr">
        <is>
          <t xml:space="preserve">deepseek/deepseek-v4-flash</t>
        </is>
      </c>
      <c r="D121" s="59" t="inlineStr">
        <is>
          <t xml:space="preserve">OpenRouter</t>
        </is>
      </c>
      <c r="E121" s="59" t="inlineStr">
        <is>
          <t xml:space="preserve">—</t>
        </is>
      </c>
      <c r="F121" s="59">
        <v>0.09</v>
      </c>
      <c r="G121" s="59">
        <v>0.18</v>
      </c>
      <c r="H121" s="59">
        <v>0</v>
      </c>
      <c r="I121" s="59">
        <v>0</v>
      </c>
      <c r="J121" s="59">
        <v>2</v>
      </c>
      <c r="K121" s="59">
        <v>0</v>
      </c>
      <c r="L121" s="59">
        <v>0</v>
      </c>
      <c r="M121" s="59">
        <v>0</v>
      </c>
      <c r="N121" s="59">
        <v>40000</v>
      </c>
      <c r="O121" s="59">
        <v>4000</v>
      </c>
      <c r="P121" s="59">
        <f>J121*(N121*F121+O121*G121)/1000000</f>
        <v>0.00864</v>
      </c>
      <c r="Q121" s="59">
        <f>K121*(N121*H121+O121*I121)/1000000</f>
        <v>0</v>
      </c>
      <c r="R121" s="59">
        <f>P121+Q121</f>
        <v>0.00864</v>
      </c>
      <c r="S121" s="59">
        <f>P121*$E$3</f>
        <v>0.9174124800000001</v>
      </c>
      <c r="T121" s="60">
        <f>ROUNDUP(S121/($B$4*(1-$Q$4)),0)</f>
        <v>4</v>
      </c>
      <c r="U121" s="59">
        <f>1-S121/(T121*$B$4)</f>
        <v>0.3073225595042145</v>
      </c>
      <c r="V121" s="59">
        <v>0</v>
      </c>
      <c r="W121" s="59">
        <v>0</v>
      </c>
      <c r="X121" s="59">
        <v>3</v>
      </c>
      <c r="Y121" s="63" t="inlineStr">
        <is>
          <t xml:space="preserve">ACTIVE 25% structurize row; two uncached OpenRouter attempts</t>
        </is>
      </c>
      <c r="Z121" s="59">
        <v>1.0</v>
      </c>
      <c r="AA121" s="59">
        <v>1.0</v>
      </c>
      <c r="AB121" s="59" t="inlineStr">
        <is>
          <t xml:space="preserve">none</t>
        </is>
      </c>
      <c r="AC121" s="59">
        <v>0</v>
      </c>
      <c r="AD121" s="59" t="inlineStr">
        <is>
          <t xml:space="preserve">unverified_disabled</t>
        </is>
      </c>
      <c r="AE121" s="63" t="inlineStr">
        <is>
          <t xml:space="preserve">OWNER-GATED PROBE; 2026-08-15</t>
        </is>
      </c>
    </row>
  </sheetData>
  <autoFilter ref="A10:AE121"/>
  <mergeCells count="4">
    <mergeCell ref="A1:Y1"/>
    <mergeCell ref="A2:Y2"/>
    <mergeCell ref="A5:Y5"/>
    <mergeCell ref="A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2026-07-03T12:05:38Z</dcterms:created>
  <dc:creator>openpyxl</dc:creator>
  <dc:description/>
  <dc:language>en-US</dc:language>
  <cp:lastModifiedBy>Diyor Ravshanovich</cp:lastModifiedBy>
  <dcterms:modified xsi:type="dcterms:W3CDTF">2026-08-11T21:35:14Z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file>